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u vao" sheetId="1" state="visible" r:id="rId1"/>
    <sheet name="T.hop" sheetId="2" state="visible" r:id="rId2"/>
    <sheet name="H1" sheetId="3" state="visible" r:id="rId3"/>
    <sheet name="H2" sheetId="4" state="visible" r:id="rId4"/>
    <sheet name="H3" sheetId="5" state="visible" r:id="rId5"/>
    <sheet name="H4" sheetId="6" state="visible" r:id="rId6"/>
    <sheet name="H5" sheetId="7" state="visible" r:id="rId7"/>
    <sheet name="H6" sheetId="8" state="visible" r:id="rId8"/>
    <sheet name="H7" sheetId="9" state="visible" r:id="rId9"/>
    <sheet name="H8" sheetId="10" state="visible" r:id="rId10"/>
    <sheet name="H9" sheetId="11" state="visible" r:id="rId11"/>
    <sheet name="H10" sheetId="12" state="visible" r:id="rId12"/>
    <sheet name="H11" sheetId="13" state="visible" r:id="rId13"/>
    <sheet name="H12" sheetId="14" state="visible" r:id="rId14"/>
    <sheet name="H13" sheetId="15" state="visible" r:id="rId15"/>
    <sheet name="H14" sheetId="16" state="visible" r:id="rId16"/>
    <sheet name="H15" sheetId="17" state="visible" r:id="rId17"/>
    <sheet name="H16" sheetId="18" state="visible" r:id="rId18"/>
    <sheet name="H17" sheetId="19" state="visible" r:id="rId19"/>
    <sheet name="H18" sheetId="20" state="visible" r:id="rId20"/>
    <sheet name="Dien tich thoat nuoc" sheetId="21" state="visible" r:id="rId21"/>
    <sheet name="H1%Denh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Times New Roman"/>
      <i val="1"/>
      <sz val="10"/>
    </font>
  </fonts>
  <fills count="6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203764"/>
        <bgColor rgb="00203764"/>
      </patternFill>
    </fill>
    <fill>
      <patternFill patternType="solid">
        <fgColor rgb="00FFF3E0"/>
        <bgColor rgb="00FFF3E0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2" fontId="2" fillId="2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</cols>
  <sheetData>
    <row r="1">
      <c r="A1" s="1" t="inlineStr">
        <is>
          <t>THÔNG SỐ ĐẦU VÀO - CẦU PHÚ KIỂNG</t>
        </is>
      </c>
    </row>
    <row r="3">
      <c r="A3" s="2" t="inlineStr">
        <is>
          <t>Mép bờ trái dòng chủ X (m)</t>
        </is>
      </c>
      <c r="B3" s="3" t="n">
        <v>50.66</v>
      </c>
    </row>
    <row r="4">
      <c r="A4" s="2" t="inlineStr">
        <is>
          <t>Mép bờ phải dòng chủ X (m)</t>
        </is>
      </c>
      <c r="B4" s="3" t="n">
        <v>335.36</v>
      </c>
    </row>
    <row r="5">
      <c r="A5" s="2" t="inlineStr">
        <is>
          <t>1/n bãi trái</t>
        </is>
      </c>
      <c r="B5" s="3" t="n">
        <v>5</v>
      </c>
    </row>
    <row r="6">
      <c r="A6" s="2" t="inlineStr">
        <is>
          <t>1/n dòng chủ</t>
        </is>
      </c>
      <c r="B6" s="3" t="n">
        <v>36</v>
      </c>
    </row>
    <row r="7">
      <c r="A7" s="2" t="inlineStr">
        <is>
          <t>1/n bãi phải</t>
        </is>
      </c>
      <c r="B7" s="3" t="n">
        <v>5</v>
      </c>
    </row>
    <row r="8">
      <c r="A8" s="2" t="inlineStr">
        <is>
          <t>Độ dốc mặt nước i</t>
        </is>
      </c>
      <c r="B8" s="3" t="n">
        <v>0.00033</v>
      </c>
    </row>
    <row r="9">
      <c r="A9" s="2" t="inlineStr">
        <is>
          <t>Lưu lượng thiết kế Qtk (m³/s)</t>
        </is>
      </c>
      <c r="B9" s="3" t="n">
        <v>4200</v>
      </c>
    </row>
    <row r="10">
      <c r="A10" s="2" t="inlineStr">
        <is>
          <t>Chế độ hình học</t>
        </is>
      </c>
      <c r="B10" s="4" t="inlineStr">
        <is>
          <t>Chính xác (có giao điểm mực nước)</t>
        </is>
      </c>
    </row>
    <row r="12">
      <c r="A12" s="5" t="inlineStr">
        <is>
          <t>STT</t>
        </is>
      </c>
      <c r="B12" s="5" t="inlineStr">
        <is>
          <t>X (m)</t>
        </is>
      </c>
      <c r="C12" s="5" t="inlineStr">
        <is>
          <t>Z (m)</t>
        </is>
      </c>
    </row>
    <row r="13">
      <c r="A13" s="2" t="n">
        <v>1</v>
      </c>
      <c r="B13" s="6" t="n">
        <v>20</v>
      </c>
      <c r="C13" s="6" t="n">
        <v>3.12</v>
      </c>
    </row>
    <row r="14">
      <c r="A14" s="2" t="n">
        <v>2</v>
      </c>
      <c r="B14" s="6" t="n">
        <v>33.67</v>
      </c>
      <c r="C14" s="6" t="n">
        <v>3.2</v>
      </c>
    </row>
    <row r="15">
      <c r="A15" s="2" t="n">
        <v>3</v>
      </c>
      <c r="B15" s="6" t="n">
        <v>37.41</v>
      </c>
      <c r="C15" s="6" t="n">
        <v>3.5</v>
      </c>
    </row>
    <row r="16">
      <c r="A16" s="2" t="n">
        <v>4</v>
      </c>
      <c r="B16" s="6" t="n">
        <v>40</v>
      </c>
      <c r="C16" s="6" t="n">
        <v>1.73</v>
      </c>
    </row>
    <row r="17">
      <c r="A17" s="2" t="n">
        <v>5</v>
      </c>
      <c r="B17" s="6" t="n">
        <v>50.66</v>
      </c>
      <c r="C17" s="6" t="n">
        <v>1.32</v>
      </c>
    </row>
    <row r="18">
      <c r="A18" s="2" t="n">
        <v>6</v>
      </c>
      <c r="B18" s="6" t="n">
        <v>51.51</v>
      </c>
      <c r="C18" s="6" t="n">
        <v>0.64</v>
      </c>
    </row>
    <row r="19">
      <c r="A19" s="2" t="n">
        <v>7</v>
      </c>
      <c r="B19" s="6" t="n">
        <v>60</v>
      </c>
      <c r="C19" s="6" t="n">
        <v>-1.01</v>
      </c>
    </row>
    <row r="20">
      <c r="A20" s="2" t="n">
        <v>8</v>
      </c>
      <c r="B20" s="6" t="n">
        <v>70.52</v>
      </c>
      <c r="C20" s="6" t="n">
        <v>-2.11</v>
      </c>
    </row>
    <row r="21">
      <c r="A21" s="2" t="n">
        <v>9</v>
      </c>
      <c r="B21" s="6" t="n">
        <v>80</v>
      </c>
      <c r="C21" s="6" t="n">
        <v>-2.59</v>
      </c>
    </row>
    <row r="22">
      <c r="A22" s="2" t="n">
        <v>10</v>
      </c>
      <c r="B22" s="6" t="n">
        <v>100</v>
      </c>
      <c r="C22" s="6" t="n">
        <v>-2.1</v>
      </c>
    </row>
    <row r="23">
      <c r="A23" s="2" t="n">
        <v>11</v>
      </c>
      <c r="B23" s="6" t="n">
        <v>120</v>
      </c>
      <c r="C23" s="6" t="n">
        <v>-3.26</v>
      </c>
    </row>
    <row r="24">
      <c r="A24" s="2" t="n">
        <v>12</v>
      </c>
      <c r="B24" s="6" t="n">
        <v>140</v>
      </c>
      <c r="C24" s="6" t="n">
        <v>-4.04</v>
      </c>
    </row>
    <row r="25">
      <c r="A25" s="2" t="n">
        <v>13</v>
      </c>
      <c r="B25" s="6" t="n">
        <v>160</v>
      </c>
      <c r="C25" s="6" t="n">
        <v>-4.13</v>
      </c>
    </row>
    <row r="26">
      <c r="A26" s="2" t="n">
        <v>14</v>
      </c>
      <c r="B26" s="6" t="n">
        <v>180</v>
      </c>
      <c r="C26" s="6" t="n">
        <v>-3.87</v>
      </c>
    </row>
    <row r="27">
      <c r="A27" s="2" t="n">
        <v>15</v>
      </c>
      <c r="B27" s="6" t="n">
        <v>200</v>
      </c>
      <c r="C27" s="6" t="n">
        <v>-4.09</v>
      </c>
    </row>
    <row r="28">
      <c r="A28" s="2" t="n">
        <v>16</v>
      </c>
      <c r="B28" s="6" t="n">
        <v>220</v>
      </c>
      <c r="C28" s="6" t="n">
        <v>-4.25</v>
      </c>
    </row>
    <row r="29">
      <c r="A29" s="2" t="n">
        <v>17</v>
      </c>
      <c r="B29" s="6" t="n">
        <v>240</v>
      </c>
      <c r="C29" s="6" t="n">
        <v>-3.72</v>
      </c>
    </row>
    <row r="30">
      <c r="A30" s="2" t="n">
        <v>18</v>
      </c>
      <c r="B30" s="6" t="n">
        <v>260</v>
      </c>
      <c r="C30" s="6" t="n">
        <v>-3.45</v>
      </c>
    </row>
    <row r="31">
      <c r="A31" s="2" t="n">
        <v>19</v>
      </c>
      <c r="B31" s="6" t="n">
        <v>280</v>
      </c>
      <c r="C31" s="6" t="n">
        <v>-3.58</v>
      </c>
    </row>
    <row r="32">
      <c r="A32" s="2" t="n">
        <v>20</v>
      </c>
      <c r="B32" s="6" t="n">
        <v>300</v>
      </c>
      <c r="C32" s="6" t="n">
        <v>-2.89</v>
      </c>
    </row>
    <row r="33">
      <c r="A33" s="2" t="n">
        <v>21</v>
      </c>
      <c r="B33" s="6" t="n">
        <v>314.06</v>
      </c>
      <c r="C33" s="6" t="n">
        <v>-2.81</v>
      </c>
    </row>
    <row r="34">
      <c r="A34" s="2" t="n">
        <v>22</v>
      </c>
      <c r="B34" s="6" t="n">
        <v>320</v>
      </c>
      <c r="C34" s="6" t="n">
        <v>-1.5</v>
      </c>
    </row>
    <row r="35">
      <c r="A35" s="2" t="n">
        <v>23</v>
      </c>
      <c r="B35" s="6" t="n">
        <v>332.31</v>
      </c>
      <c r="C35" s="6" t="n">
        <v>-0.19</v>
      </c>
    </row>
    <row r="36">
      <c r="A36" s="2" t="n">
        <v>24</v>
      </c>
      <c r="B36" s="6" t="n">
        <v>335.36</v>
      </c>
      <c r="C36" s="6" t="n">
        <v>1.43</v>
      </c>
    </row>
    <row r="37">
      <c r="A37" s="2" t="n">
        <v>25</v>
      </c>
      <c r="B37" s="6" t="n">
        <v>340</v>
      </c>
      <c r="C37" s="6" t="n">
        <v>1.64</v>
      </c>
    </row>
    <row r="38">
      <c r="A38" s="2" t="n">
        <v>26</v>
      </c>
      <c r="B38" s="6" t="n">
        <v>360</v>
      </c>
      <c r="C38" s="6" t="n">
        <v>1.47</v>
      </c>
    </row>
    <row r="39">
      <c r="A39" s="2" t="n">
        <v>27</v>
      </c>
      <c r="B39" s="6" t="n">
        <v>363.88</v>
      </c>
      <c r="C39" s="6" t="n">
        <v>1.46</v>
      </c>
    </row>
    <row r="40">
      <c r="A40" s="2" t="n">
        <v>28</v>
      </c>
      <c r="B40" s="6" t="n">
        <v>367.67</v>
      </c>
      <c r="C40" s="6" t="n">
        <v>1.49</v>
      </c>
    </row>
    <row r="41">
      <c r="A41" s="2" t="n">
        <v>29</v>
      </c>
      <c r="B41" s="6" t="n">
        <v>368.68</v>
      </c>
      <c r="C41" s="6" t="n">
        <v>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BẢNG TỔNG HỢP QUAN HỆ H-Q VÀ H-V - CẦU PHÚ KIỂNG</t>
        </is>
      </c>
    </row>
    <row r="2">
      <c r="A2" s="7" t="inlineStr">
        <is>
          <t>1/n bãi trái</t>
        </is>
      </c>
      <c r="B2" s="7" t="inlineStr">
        <is>
          <t>1/n dòng chủ</t>
        </is>
      </c>
      <c r="C2" s="7" t="inlineStr">
        <is>
          <t>1/n bãi phải</t>
        </is>
      </c>
      <c r="D2" s="7" t="inlineStr">
        <is>
          <t>Độ dốc i</t>
        </is>
      </c>
    </row>
    <row r="3">
      <c r="A3" s="8" t="n">
        <v>5</v>
      </c>
      <c r="B3" s="8" t="n">
        <v>36</v>
      </c>
      <c r="C3" s="8" t="n">
        <v>5</v>
      </c>
      <c r="D3" s="8" t="n">
        <v>0.00033</v>
      </c>
    </row>
    <row r="5">
      <c r="A5" s="5" t="inlineStr">
        <is>
          <t>H (m)</t>
        </is>
      </c>
      <c r="B5" s="5" t="inlineStr">
        <is>
          <t>ω bãi trái</t>
        </is>
      </c>
      <c r="C5" s="5" t="inlineStr">
        <is>
          <t>χ bãi trái</t>
        </is>
      </c>
      <c r="D5" s="5" t="inlineStr">
        <is>
          <t>R bãi trái</t>
        </is>
      </c>
      <c r="E5" s="5" t="inlineStr">
        <is>
          <t>Q bãi trái</t>
        </is>
      </c>
      <c r="F5" s="5" t="inlineStr">
        <is>
          <t>ω dòng chủ</t>
        </is>
      </c>
      <c r="G5" s="5" t="inlineStr">
        <is>
          <t>χ dòng chủ</t>
        </is>
      </c>
      <c r="H5" s="5" t="inlineStr">
        <is>
          <t>R dòng chủ</t>
        </is>
      </c>
      <c r="I5" s="5" t="inlineStr">
        <is>
          <t>Vc (m/s)</t>
        </is>
      </c>
      <c r="J5" s="5" t="inlineStr">
        <is>
          <t>Q dòng chủ</t>
        </is>
      </c>
      <c r="K5" s="5" t="inlineStr">
        <is>
          <t>ω bãi phải</t>
        </is>
      </c>
      <c r="L5" s="5" t="inlineStr">
        <is>
          <t>χ bãi phải</t>
        </is>
      </c>
      <c r="M5" s="5" t="inlineStr">
        <is>
          <t>R bãi phải</t>
        </is>
      </c>
      <c r="N5" s="5" t="inlineStr">
        <is>
          <t>Q bãi phải</t>
        </is>
      </c>
      <c r="O5" s="5" t="inlineStr">
        <is>
          <t>Σω (m²)</t>
        </is>
      </c>
      <c r="P5" s="5" t="inlineStr">
        <is>
          <t>ΣQ (m³/s)</t>
        </is>
      </c>
      <c r="Q5" s="5" t="inlineStr">
        <is>
          <t>Vtb (m/s)</t>
        </is>
      </c>
    </row>
    <row r="6">
      <c r="A6" s="9" t="n">
        <v>3.5</v>
      </c>
      <c r="B6" s="10" t="n">
        <v>28.55444999999999</v>
      </c>
      <c r="C6" s="10" t="n">
        <v>31.22716540042916</v>
      </c>
      <c r="D6" s="11">
        <f>IF(C6&gt;0,B6/C6,0)</f>
        <v/>
      </c>
      <c r="E6" s="10">
        <f>B6*$A$3*D6^(2/3)*SQRT($D$3)</f>
        <v/>
      </c>
      <c r="F6" s="10" t="n">
        <v>1881.8595</v>
      </c>
      <c r="G6" s="10" t="n">
        <v>285.8626102849109</v>
      </c>
      <c r="H6" s="11">
        <f>IF(G6&gt;0,F6/G6,0)</f>
        <v/>
      </c>
      <c r="I6" s="10">
        <f>IF(H6&gt;0,$B$3*H6^(2/3)*SQRT($D$3),0)</f>
        <v/>
      </c>
      <c r="J6" s="10">
        <f>F6*I6</f>
        <v/>
      </c>
      <c r="K6" s="10" t="n">
        <v>65.54249999999999</v>
      </c>
      <c r="L6" s="10" t="n">
        <v>33.33668169119671</v>
      </c>
      <c r="M6" s="11">
        <f>IF(L6&gt;0,K6/L6,0)</f>
        <v/>
      </c>
      <c r="N6" s="10">
        <f>K6*$C$3*M6^(2/3)*SQRT($D$3)</f>
        <v/>
      </c>
      <c r="O6" s="10">
        <f>B6+F6+K6</f>
        <v/>
      </c>
      <c r="P6" s="10">
        <f>E6+J6+N6</f>
        <v/>
      </c>
      <c r="Q6" s="10">
        <f>IF(O6&gt;0,P6/O6,0)</f>
        <v/>
      </c>
    </row>
    <row r="7">
      <c r="A7" s="9" t="n">
        <v>3.2</v>
      </c>
      <c r="B7" s="10" t="n">
        <v>19.98329745762712</v>
      </c>
      <c r="C7" s="10" t="n">
        <v>26.94345145161292</v>
      </c>
      <c r="D7" s="11">
        <f>IF(C7&gt;0,B7/C7,0)</f>
        <v/>
      </c>
      <c r="E7" s="10">
        <f>B7*$A$3*D7^(2/3)*SQRT($D$3)</f>
        <v/>
      </c>
      <c r="F7" s="10" t="n">
        <v>1796.4495</v>
      </c>
      <c r="G7" s="10" t="n">
        <v>285.8626102849109</v>
      </c>
      <c r="H7" s="11">
        <f>IF(G7&gt;0,F7/G7,0)</f>
        <v/>
      </c>
      <c r="I7" s="10">
        <f>IF(H7&gt;0,$B$3*H7^(2/3)*SQRT($D$3),0)</f>
        <v/>
      </c>
      <c r="J7" s="10">
        <f>F7*I7</f>
        <v/>
      </c>
      <c r="K7" s="10" t="n">
        <v>55.5465</v>
      </c>
      <c r="L7" s="10" t="n">
        <v>33.33668169119671</v>
      </c>
      <c r="M7" s="11">
        <f>IF(L7&gt;0,K7/L7,0)</f>
        <v/>
      </c>
      <c r="N7" s="10">
        <f>K7*$C$3*M7^(2/3)*SQRT($D$3)</f>
        <v/>
      </c>
      <c r="O7" s="10">
        <f>B7+F7+K7</f>
        <v/>
      </c>
      <c r="P7" s="10">
        <f>E7+J7+N7</f>
        <v/>
      </c>
      <c r="Q7" s="10">
        <f>IF(O7&gt;0,P7/O7,0)</f>
        <v/>
      </c>
    </row>
    <row r="8">
      <c r="A8" s="9" t="n">
        <v>2.9</v>
      </c>
      <c r="B8" s="10" t="n">
        <v>15.65903983050847</v>
      </c>
      <c r="C8" s="10" t="n">
        <v>12.74151620870956</v>
      </c>
      <c r="D8" s="11">
        <f>IF(C8&gt;0,B8/C8,0)</f>
        <v/>
      </c>
      <c r="E8" s="10">
        <f>B8*$A$3*D8^(2/3)*SQRT($D$3)</f>
        <v/>
      </c>
      <c r="F8" s="10" t="n">
        <v>1711.0395</v>
      </c>
      <c r="G8" s="10" t="n">
        <v>285.8626102849109</v>
      </c>
      <c r="H8" s="11">
        <f>IF(G8&gt;0,F8/G8,0)</f>
        <v/>
      </c>
      <c r="I8" s="10">
        <f>IF(H8&gt;0,$B$3*H8^(2/3)*SQRT($D$3),0)</f>
        <v/>
      </c>
      <c r="J8" s="10">
        <f>F8*I8</f>
        <v/>
      </c>
      <c r="K8" s="10" t="n">
        <v>45.55049999999999</v>
      </c>
      <c r="L8" s="10" t="n">
        <v>33.33668169119671</v>
      </c>
      <c r="M8" s="11">
        <f>IF(L8&gt;0,K8/L8,0)</f>
        <v/>
      </c>
      <c r="N8" s="10">
        <f>K8*$C$3*M8^(2/3)*SQRT($D$3)</f>
        <v/>
      </c>
      <c r="O8" s="10">
        <f>B8+F8+K8</f>
        <v/>
      </c>
      <c r="P8" s="10">
        <f>E8+J8+N8</f>
        <v/>
      </c>
      <c r="Q8" s="10">
        <f>IF(O8&gt;0,P8/O8,0)</f>
        <v/>
      </c>
    </row>
    <row r="9">
      <c r="A9" s="9" t="n">
        <v>2.6</v>
      </c>
      <c r="B9" s="10" t="n">
        <v>12.01327711864407</v>
      </c>
      <c r="C9" s="10" t="n">
        <v>12.20981505304847</v>
      </c>
      <c r="D9" s="11">
        <f>IF(C9&gt;0,B9/C9,0)</f>
        <v/>
      </c>
      <c r="E9" s="10">
        <f>B9*$A$3*D9^(2/3)*SQRT($D$3)</f>
        <v/>
      </c>
      <c r="F9" s="10" t="n">
        <v>1625.6295</v>
      </c>
      <c r="G9" s="10" t="n">
        <v>285.8626102849109</v>
      </c>
      <c r="H9" s="11">
        <f>IF(G9&gt;0,F9/G9,0)</f>
        <v/>
      </c>
      <c r="I9" s="10">
        <f>IF(H9&gt;0,$B$3*H9^(2/3)*SQRT($D$3),0)</f>
        <v/>
      </c>
      <c r="J9" s="10">
        <f>F9*I9</f>
        <v/>
      </c>
      <c r="K9" s="10" t="n">
        <v>35.5545</v>
      </c>
      <c r="L9" s="10" t="n">
        <v>33.33668169119671</v>
      </c>
      <c r="M9" s="11">
        <f>IF(L9&gt;0,K9/L9,0)</f>
        <v/>
      </c>
      <c r="N9" s="10">
        <f>K9*$C$3*M9^(2/3)*SQRT($D$3)</f>
        <v/>
      </c>
      <c r="O9" s="10">
        <f>B9+F9+K9</f>
        <v/>
      </c>
      <c r="P9" s="10">
        <f>E9+J9+N9</f>
        <v/>
      </c>
      <c r="Q9" s="10">
        <f>IF(O9&gt;0,P9/O9,0)</f>
        <v/>
      </c>
    </row>
    <row r="10">
      <c r="A10" s="9" t="n">
        <v>2.3</v>
      </c>
      <c r="B10" s="10" t="n">
        <v>8.499209322033893</v>
      </c>
      <c r="C10" s="10" t="n">
        <v>11.67811389738738</v>
      </c>
      <c r="D10" s="11">
        <f>IF(C10&gt;0,B10/C10,0)</f>
        <v/>
      </c>
      <c r="E10" s="10">
        <f>B10*$A$3*D10^(2/3)*SQRT($D$3)</f>
        <v/>
      </c>
      <c r="F10" s="10" t="n">
        <v>1540.2195</v>
      </c>
      <c r="G10" s="10" t="n">
        <v>285.8626102849109</v>
      </c>
      <c r="H10" s="11">
        <f>IF(G10&gt;0,F10/G10,0)</f>
        <v/>
      </c>
      <c r="I10" s="10">
        <f>IF(H10&gt;0,$B$3*H10^(2/3)*SQRT($D$3),0)</f>
        <v/>
      </c>
      <c r="J10" s="10">
        <f>F10*I10</f>
        <v/>
      </c>
      <c r="K10" s="10" t="n">
        <v>25.5585</v>
      </c>
      <c r="L10" s="10" t="n">
        <v>33.33668169119671</v>
      </c>
      <c r="M10" s="11">
        <f>IF(L10&gt;0,K10/L10,0)</f>
        <v/>
      </c>
      <c r="N10" s="10">
        <f>K10*$C$3*M10^(2/3)*SQRT($D$3)</f>
        <v/>
      </c>
      <c r="O10" s="10">
        <f>B10+F10+K10</f>
        <v/>
      </c>
      <c r="P10" s="10">
        <f>E10+J10+N10</f>
        <v/>
      </c>
      <c r="Q10" s="10">
        <f>IF(O10&gt;0,P10/O10,0)</f>
        <v/>
      </c>
    </row>
    <row r="11">
      <c r="A11" s="9" t="n">
        <v>2</v>
      </c>
      <c r="B11" s="10" t="n">
        <v>5.116836440677965</v>
      </c>
      <c r="C11" s="10" t="n">
        <v>11.14641274172628</v>
      </c>
      <c r="D11" s="11">
        <f>IF(C11&gt;0,B11/C11,0)</f>
        <v/>
      </c>
      <c r="E11" s="10">
        <f>B11*$A$3*D11^(2/3)*SQRT($D$3)</f>
        <v/>
      </c>
      <c r="F11" s="10" t="n">
        <v>1454.8095</v>
      </c>
      <c r="G11" s="10" t="n">
        <v>285.8626102849109</v>
      </c>
      <c r="H11" s="11">
        <f>IF(G11&gt;0,F11/G11,0)</f>
        <v/>
      </c>
      <c r="I11" s="10">
        <f>IF(H11&gt;0,$B$3*H11^(2/3)*SQRT($D$3),0)</f>
        <v/>
      </c>
      <c r="J11" s="10">
        <f>F11*I11</f>
        <v/>
      </c>
      <c r="K11" s="10" t="n">
        <v>15.5625</v>
      </c>
      <c r="L11" s="10" t="n">
        <v>33.33668169119671</v>
      </c>
      <c r="M11" s="11">
        <f>IF(L11&gt;0,K11/L11,0)</f>
        <v/>
      </c>
      <c r="N11" s="10">
        <f>K11*$C$3*M11^(2/3)*SQRT($D$3)</f>
        <v/>
      </c>
      <c r="O11" s="10">
        <f>B11+F11+K11</f>
        <v/>
      </c>
      <c r="P11" s="10">
        <f>E11+J11+N11</f>
        <v/>
      </c>
      <c r="Q11" s="10">
        <f>IF(O11&gt;0,P11/O11,0)</f>
        <v/>
      </c>
    </row>
    <row r="12">
      <c r="A12" s="9" t="n">
        <v>1.7</v>
      </c>
      <c r="B12" s="10" t="n">
        <v>1.877199999999999</v>
      </c>
      <c r="C12" s="10" t="n">
        <v>9.887304991755839</v>
      </c>
      <c r="D12" s="11">
        <f>IF(C12&gt;0,B12/C12,0)</f>
        <v/>
      </c>
      <c r="E12" s="10">
        <f>B12*$A$3*D12^(2/3)*SQRT($D$3)</f>
        <v/>
      </c>
      <c r="F12" s="10" t="n">
        <v>1369.3995</v>
      </c>
      <c r="G12" s="10" t="n">
        <v>285.8626102849109</v>
      </c>
      <c r="H12" s="11">
        <f>IF(G12&gt;0,F12/G12,0)</f>
        <v/>
      </c>
      <c r="I12" s="10">
        <f>IF(H12&gt;0,$B$3*H12^(2/3)*SQRT($D$3),0)</f>
        <v/>
      </c>
      <c r="J12" s="10">
        <f>F12*I12</f>
        <v/>
      </c>
      <c r="K12" s="10" t="n">
        <v>5.5665</v>
      </c>
      <c r="L12" s="10" t="n">
        <v>33.33668169119671</v>
      </c>
      <c r="M12" s="11">
        <f>IF(L12&gt;0,K12/L12,0)</f>
        <v/>
      </c>
      <c r="N12" s="10">
        <f>K12*$C$3*M12^(2/3)*SQRT($D$3)</f>
        <v/>
      </c>
      <c r="O12" s="10">
        <f>B12+F12+K12</f>
        <v/>
      </c>
      <c r="P12" s="10">
        <f>E12+J12+N12</f>
        <v/>
      </c>
      <c r="Q12" s="10">
        <f>IF(O12&gt;0,P12/O12,0)</f>
        <v/>
      </c>
    </row>
    <row r="13">
      <c r="A13" s="9" t="n">
        <v>1.4</v>
      </c>
      <c r="B13" s="10" t="n">
        <v>0.08319999999999977</v>
      </c>
      <c r="C13" s="10" t="n">
        <v>2.081537893001228</v>
      </c>
      <c r="D13" s="11">
        <f>IF(C13&gt;0,B13/C13,0)</f>
        <v/>
      </c>
      <c r="E13" s="10">
        <f>B13*$A$3*D13^(2/3)*SQRT($D$3)</f>
        <v/>
      </c>
      <c r="F13" s="10" t="n">
        <v>1283.990347222222</v>
      </c>
      <c r="G13" s="10" t="n">
        <v>285.7986559437733</v>
      </c>
      <c r="H13" s="11">
        <f>IF(G13&gt;0,F13/G13,0)</f>
        <v/>
      </c>
      <c r="I13" s="10">
        <f>IF(H13&gt;0,$B$3*H13^(2/3)*SQRT($D$3),0)</f>
        <v/>
      </c>
      <c r="J13" s="10">
        <f>F13*I13</f>
        <v/>
      </c>
      <c r="K13" s="10" t="n">
        <v>0</v>
      </c>
      <c r="L13" s="10" t="n">
        <v>0</v>
      </c>
      <c r="M13" s="11">
        <f>IF(L13&gt;0,K13/L13,0)</f>
        <v/>
      </c>
      <c r="N13" s="10">
        <f>K13*$C$3*M13^(2/3)*SQRT($D$3)</f>
        <v/>
      </c>
      <c r="O13" s="10">
        <f>B13+F13+K13</f>
        <v/>
      </c>
      <c r="P13" s="10">
        <f>E13+J13+N13</f>
        <v/>
      </c>
      <c r="Q13" s="10">
        <f>IF(O13&gt;0,P13/O13,0)</f>
        <v/>
      </c>
    </row>
    <row r="14">
      <c r="A14" s="9" t="n">
        <v>1.1</v>
      </c>
      <c r="B14" s="10" t="n">
        <v>0</v>
      </c>
      <c r="C14" s="10" t="n">
        <v>0</v>
      </c>
      <c r="D14" s="11">
        <f>IF(C14&gt;0,B14/C14,0)</f>
        <v/>
      </c>
      <c r="E14" s="10">
        <f>B14*$A$3*D14^(2/3)*SQRT($D$3)</f>
        <v/>
      </c>
      <c r="F14" s="10" t="n">
        <v>1198.712263888889</v>
      </c>
      <c r="G14" s="10" t="n">
        <v>284.8069406993386</v>
      </c>
      <c r="H14" s="11">
        <f>IF(G14&gt;0,F14/G14,0)</f>
        <v/>
      </c>
      <c r="I14" s="10">
        <f>IF(H14&gt;0,$B$3*H14^(2/3)*SQRT($D$3),0)</f>
        <v/>
      </c>
      <c r="J14" s="10">
        <f>F14*I14</f>
        <v/>
      </c>
      <c r="K14" s="10" t="n">
        <v>0</v>
      </c>
      <c r="L14" s="10" t="n">
        <v>0</v>
      </c>
      <c r="M14" s="11">
        <f>IF(L14&gt;0,K14/L14,0)</f>
        <v/>
      </c>
      <c r="N14" s="10">
        <f>K14*$C$3*M14^(2/3)*SQRT($D$3)</f>
        <v/>
      </c>
      <c r="O14" s="10">
        <f>B14+F14+K14</f>
        <v/>
      </c>
      <c r="P14" s="10">
        <f>E14+J14+N14</f>
        <v/>
      </c>
      <c r="Q14" s="10">
        <f>IF(O14&gt;0,P14/O14,0)</f>
        <v/>
      </c>
    </row>
    <row r="15">
      <c r="A15" s="9" t="n">
        <v>0.8</v>
      </c>
      <c r="B15" s="10" t="n">
        <v>0</v>
      </c>
      <c r="C15" s="10" t="n">
        <v>0</v>
      </c>
      <c r="D15" s="11">
        <f>IF(C15&gt;0,B15/C15,0)</f>
        <v/>
      </c>
      <c r="E15" s="10">
        <f>B15*$A$3*D15^(2/3)*SQRT($D$3)</f>
        <v/>
      </c>
      <c r="F15" s="10" t="n">
        <v>1113.712125</v>
      </c>
      <c r="G15" s="10" t="n">
        <v>283.6871629701553</v>
      </c>
      <c r="H15" s="11">
        <f>IF(G15&gt;0,F15/G15,0)</f>
        <v/>
      </c>
      <c r="I15" s="10">
        <f>IF(H15&gt;0,$B$3*H15^(2/3)*SQRT($D$3),0)</f>
        <v/>
      </c>
      <c r="J15" s="10">
        <f>F15*I15</f>
        <v/>
      </c>
      <c r="K15" s="10" t="n">
        <v>0</v>
      </c>
      <c r="L15" s="10" t="n">
        <v>0</v>
      </c>
      <c r="M15" s="11">
        <f>IF(L15&gt;0,K15/L15,0)</f>
        <v/>
      </c>
      <c r="N15" s="10">
        <f>K15*$C$3*M15^(2/3)*SQRT($D$3)</f>
        <v/>
      </c>
      <c r="O15" s="10">
        <f>B15+F15+K15</f>
        <v/>
      </c>
      <c r="P15" s="10">
        <f>E15+J15+N15</f>
        <v/>
      </c>
      <c r="Q15" s="10">
        <f>IF(O15&gt;0,P15/O15,0)</f>
        <v/>
      </c>
    </row>
    <row r="16">
      <c r="A16" s="9" t="n">
        <v>0.5</v>
      </c>
      <c r="B16" s="10" t="n">
        <v>0</v>
      </c>
      <c r="C16" s="10" t="n">
        <v>0</v>
      </c>
      <c r="D16" s="11">
        <f>IF(C16&gt;0,B16/C16,0)</f>
        <v/>
      </c>
      <c r="E16" s="10">
        <f>B16*$A$3*D16^(2/3)*SQRT($D$3)</f>
        <v/>
      </c>
      <c r="F16" s="10" t="n">
        <v>1029.032106010101</v>
      </c>
      <c r="G16" s="10" t="n">
        <v>282.0576528021134</v>
      </c>
      <c r="H16" s="11">
        <f>IF(G16&gt;0,F16/G16,0)</f>
        <v/>
      </c>
      <c r="I16" s="10">
        <f>IF(H16&gt;0,$B$3*H16^(2/3)*SQRT($D$3),0)</f>
        <v/>
      </c>
      <c r="J16" s="10">
        <f>F16*I16</f>
        <v/>
      </c>
      <c r="K16" s="10" t="n">
        <v>0</v>
      </c>
      <c r="L16" s="10" t="n">
        <v>0</v>
      </c>
      <c r="M16" s="11">
        <f>IF(L16&gt;0,K16/L16,0)</f>
        <v/>
      </c>
      <c r="N16" s="10">
        <f>K16*$C$3*M16^(2/3)*SQRT($D$3)</f>
        <v/>
      </c>
      <c r="O16" s="10">
        <f>B16+F16+K16</f>
        <v/>
      </c>
      <c r="P16" s="10">
        <f>E16+J16+N16</f>
        <v/>
      </c>
      <c r="Q16" s="10">
        <f>IF(O16&gt;0,P16/O16,0)</f>
        <v/>
      </c>
    </row>
    <row r="17">
      <c r="A17" s="9" t="n">
        <v>0.2</v>
      </c>
      <c r="B17" s="10" t="n">
        <v>0</v>
      </c>
      <c r="C17" s="10" t="n">
        <v>0</v>
      </c>
      <c r="D17" s="11">
        <f>IF(C17&gt;0,B17/C17,0)</f>
        <v/>
      </c>
      <c r="E17" s="10">
        <f>B17*$A$3*D17^(2/3)*SQRT($D$3)</f>
        <v/>
      </c>
      <c r="F17" s="10" t="n">
        <v>944.9347605555558</v>
      </c>
      <c r="G17" s="10" t="n">
        <v>279.8455912753758</v>
      </c>
      <c r="H17" s="11">
        <f>IF(G17&gt;0,F17/G17,0)</f>
        <v/>
      </c>
      <c r="I17" s="10">
        <f>IF(H17&gt;0,$B$3*H17^(2/3)*SQRT($D$3),0)</f>
        <v/>
      </c>
      <c r="J17" s="10">
        <f>F17*I17</f>
        <v/>
      </c>
      <c r="K17" s="10" t="n">
        <v>0</v>
      </c>
      <c r="L17" s="10" t="n">
        <v>0</v>
      </c>
      <c r="M17" s="11">
        <f>IF(L17&gt;0,K17/L17,0)</f>
        <v/>
      </c>
      <c r="N17" s="10">
        <f>K17*$C$3*M17^(2/3)*SQRT($D$3)</f>
        <v/>
      </c>
      <c r="O17" s="10">
        <f>B17+F17+K17</f>
        <v/>
      </c>
      <c r="P17" s="10">
        <f>E17+J17+N17</f>
        <v/>
      </c>
      <c r="Q17" s="10">
        <f>IF(O17&gt;0,P17/O17,0)</f>
        <v/>
      </c>
    </row>
    <row r="18">
      <c r="A18" s="9" t="n">
        <v>-0.1</v>
      </c>
      <c r="B18" s="10" t="n">
        <v>0</v>
      </c>
      <c r="C18" s="10" t="n">
        <v>0</v>
      </c>
      <c r="D18" s="11">
        <f>IF(C18&gt;0,B18/C18,0)</f>
        <v/>
      </c>
      <c r="E18" s="10">
        <f>B18*$A$3*D18^(2/3)*SQRT($D$3)</f>
        <v/>
      </c>
      <c r="F18" s="10" t="n">
        <v>861.4699504545454</v>
      </c>
      <c r="G18" s="10" t="n">
        <v>277.6335297486383</v>
      </c>
      <c r="H18" s="11">
        <f>IF(G18&gt;0,F18/G18,0)</f>
        <v/>
      </c>
      <c r="I18" s="10">
        <f>IF(H18&gt;0,$B$3*H18^(2/3)*SQRT($D$3),0)</f>
        <v/>
      </c>
      <c r="J18" s="10">
        <f>F18*I18</f>
        <v/>
      </c>
      <c r="K18" s="10" t="n">
        <v>0</v>
      </c>
      <c r="L18" s="10" t="n">
        <v>0</v>
      </c>
      <c r="M18" s="11">
        <f>IF(L18&gt;0,K18/L18,0)</f>
        <v/>
      </c>
      <c r="N18" s="10">
        <f>K18*$C$3*M18^(2/3)*SQRT($D$3)</f>
        <v/>
      </c>
      <c r="O18" s="10">
        <f>B18+F18+K18</f>
        <v/>
      </c>
      <c r="P18" s="10">
        <f>E18+J18+N18</f>
        <v/>
      </c>
      <c r="Q18" s="10">
        <f>IF(O18&gt;0,P18/O18,0)</f>
        <v/>
      </c>
    </row>
    <row r="19">
      <c r="A19" s="9" t="n">
        <v>-0.4</v>
      </c>
      <c r="B19" s="10" t="n">
        <v>0</v>
      </c>
      <c r="C19" s="10" t="n">
        <v>0</v>
      </c>
      <c r="D19" s="11">
        <f>IF(C19&gt;0,B19/C19,0)</f>
        <v/>
      </c>
      <c r="E19" s="10">
        <f>B19*$A$3*D19^(2/3)*SQRT($D$3)</f>
        <v/>
      </c>
      <c r="F19" s="10" t="n">
        <v>778.8033644899376</v>
      </c>
      <c r="G19" s="10" t="n">
        <v>273.8846474460496</v>
      </c>
      <c r="H19" s="11">
        <f>IF(G19&gt;0,F19/G19,0)</f>
        <v/>
      </c>
      <c r="I19" s="10">
        <f>IF(H19&gt;0,$B$3*H19^(2/3)*SQRT($D$3),0)</f>
        <v/>
      </c>
      <c r="J19" s="10">
        <f>F19*I19</f>
        <v/>
      </c>
      <c r="K19" s="10" t="n">
        <v>0</v>
      </c>
      <c r="L19" s="10" t="n">
        <v>0</v>
      </c>
      <c r="M19" s="11">
        <f>IF(L19&gt;0,K19/L19,0)</f>
        <v/>
      </c>
      <c r="N19" s="10">
        <f>K19*$C$3*M19^(2/3)*SQRT($D$3)</f>
        <v/>
      </c>
      <c r="O19" s="10">
        <f>B19+F19+K19</f>
        <v/>
      </c>
      <c r="P19" s="10">
        <f>E19+J19+N19</f>
        <v/>
      </c>
      <c r="Q19" s="10">
        <f>IF(O19&gt;0,P19/O19,0)</f>
        <v/>
      </c>
    </row>
    <row r="20">
      <c r="A20" s="9" t="n">
        <v>-0.7</v>
      </c>
      <c r="B20" s="10" t="n">
        <v>0</v>
      </c>
      <c r="C20" s="10" t="n">
        <v>0</v>
      </c>
      <c r="D20" s="11">
        <f>IF(C20&gt;0,B20/C20,0)</f>
        <v/>
      </c>
      <c r="E20" s="10">
        <f>B20*$A$3*D20^(2/3)*SQRT($D$3)</f>
        <v/>
      </c>
      <c r="F20" s="10" t="n">
        <v>697.4151619916724</v>
      </c>
      <c r="G20" s="10" t="n">
        <v>269.4771276680962</v>
      </c>
      <c r="H20" s="11">
        <f>IF(G20&gt;0,F20/G20,0)</f>
        <v/>
      </c>
      <c r="I20" s="10">
        <f>IF(H20&gt;0,$B$3*H20^(2/3)*SQRT($D$3),0)</f>
        <v/>
      </c>
      <c r="J20" s="10">
        <f>F20*I20</f>
        <v/>
      </c>
      <c r="K20" s="10" t="n">
        <v>0</v>
      </c>
      <c r="L20" s="10" t="n">
        <v>0</v>
      </c>
      <c r="M20" s="11">
        <f>IF(L20&gt;0,K20/L20,0)</f>
        <v/>
      </c>
      <c r="N20" s="10">
        <f>K20*$C$3*M20^(2/3)*SQRT($D$3)</f>
        <v/>
      </c>
      <c r="O20" s="10">
        <f>B20+F20+K20</f>
        <v/>
      </c>
      <c r="P20" s="10">
        <f>E20+J20+N20</f>
        <v/>
      </c>
      <c r="Q20" s="10">
        <f>IF(O20&gt;0,P20/O20,0)</f>
        <v/>
      </c>
    </row>
    <row r="21">
      <c r="A21" s="9" t="n">
        <v>-1</v>
      </c>
      <c r="B21" s="10" t="n">
        <v>0</v>
      </c>
      <c r="C21" s="10" t="n">
        <v>0</v>
      </c>
      <c r="D21" s="11">
        <f>IF(C21&gt;0,B21/C21,0)</f>
        <v/>
      </c>
      <c r="E21" s="10">
        <f>B21*$A$3*D21^(2/3)*SQRT($D$3)</f>
        <v/>
      </c>
      <c r="F21" s="10" t="n">
        <v>617.3357755933379</v>
      </c>
      <c r="G21" s="10" t="n">
        <v>265.0696078901428</v>
      </c>
      <c r="H21" s="11">
        <f>IF(G21&gt;0,F21/G21,0)</f>
        <v/>
      </c>
      <c r="I21" s="10">
        <f>IF(H21&gt;0,$B$3*H21^(2/3)*SQRT($D$3),0)</f>
        <v/>
      </c>
      <c r="J21" s="10">
        <f>F21*I21</f>
        <v/>
      </c>
      <c r="K21" s="10" t="n">
        <v>0</v>
      </c>
      <c r="L21" s="10" t="n">
        <v>0</v>
      </c>
      <c r="M21" s="11">
        <f>IF(L21&gt;0,K21/L21,0)</f>
        <v/>
      </c>
      <c r="N21" s="10">
        <f>K21*$C$3*M21^(2/3)*SQRT($D$3)</f>
        <v/>
      </c>
      <c r="O21" s="10">
        <f>B21+F21+K21</f>
        <v/>
      </c>
      <c r="P21" s="10">
        <f>E21+J21+N21</f>
        <v/>
      </c>
      <c r="Q21" s="10">
        <f>IF(O21&gt;0,P21/O21,0)</f>
        <v/>
      </c>
    </row>
    <row r="22">
      <c r="A22" s="9" t="n">
        <v>-1.3</v>
      </c>
      <c r="B22" s="10" t="n">
        <v>0</v>
      </c>
      <c r="C22" s="10" t="n">
        <v>0</v>
      </c>
      <c r="D22" s="11">
        <f>IF(C22&gt;0,B22/C22,0)</f>
        <v/>
      </c>
      <c r="E22" s="10">
        <f>B22*$A$3*D22^(2/3)*SQRT($D$3)</f>
        <v/>
      </c>
      <c r="F22" s="10" t="n">
        <v>538.7509898403887</v>
      </c>
      <c r="G22" s="10" t="n">
        <v>259.3936140314358</v>
      </c>
      <c r="H22" s="11">
        <f>IF(G22&gt;0,F22/G22,0)</f>
        <v/>
      </c>
      <c r="I22" s="10">
        <f>IF(H22&gt;0,$B$3*H22^(2/3)*SQRT($D$3),0)</f>
        <v/>
      </c>
      <c r="J22" s="10">
        <f>F22*I22</f>
        <v/>
      </c>
      <c r="K22" s="10" t="n">
        <v>0</v>
      </c>
      <c r="L22" s="10" t="n">
        <v>0</v>
      </c>
      <c r="M22" s="11">
        <f>IF(L22&gt;0,K22/L22,0)</f>
        <v/>
      </c>
      <c r="N22" s="10">
        <f>K22*$C$3*M22^(2/3)*SQRT($D$3)</f>
        <v/>
      </c>
      <c r="O22" s="10">
        <f>B22+F22+K22</f>
        <v/>
      </c>
      <c r="P22" s="10">
        <f>E22+J22+N22</f>
        <v/>
      </c>
      <c r="Q22" s="10">
        <f>IF(O22&gt;0,P22/O22,0)</f>
        <v/>
      </c>
    </row>
    <row r="23">
      <c r="A23" s="9" t="n">
        <v>-1.6</v>
      </c>
      <c r="B23" s="10" t="n">
        <v>0</v>
      </c>
      <c r="C23" s="10" t="n">
        <v>0</v>
      </c>
      <c r="D23" s="11">
        <f>IF(C23&gt;0,B23/C23,0)</f>
        <v/>
      </c>
      <c r="E23" s="10">
        <f>B23*$A$3*D23^(2/3)*SQRT($D$3)</f>
        <v/>
      </c>
      <c r="F23" s="10" t="n">
        <v>461.848122664816</v>
      </c>
      <c r="G23" s="10" t="n">
        <v>254.1545491062379</v>
      </c>
      <c r="H23" s="11">
        <f>IF(G23&gt;0,F23/G23,0)</f>
        <v/>
      </c>
      <c r="I23" s="10">
        <f>IF(H23&gt;0,$B$3*H23^(2/3)*SQRT($D$3),0)</f>
        <v/>
      </c>
      <c r="J23" s="10">
        <f>F23*I23</f>
        <v/>
      </c>
      <c r="K23" s="10" t="n">
        <v>0</v>
      </c>
      <c r="L23" s="10" t="n">
        <v>0</v>
      </c>
      <c r="M23" s="11">
        <f>IF(L23&gt;0,K23/L23,0)</f>
        <v/>
      </c>
      <c r="N23" s="10">
        <f>K23*$C$3*M23^(2/3)*SQRT($D$3)</f>
        <v/>
      </c>
      <c r="O23" s="10">
        <f>B23+F23+K23</f>
        <v/>
      </c>
      <c r="P23" s="10">
        <f>E23+J23+N23</f>
        <v/>
      </c>
      <c r="Q23" s="10">
        <f>IF(O23&gt;0,P23/O23,0)</f>
        <v/>
      </c>
    </row>
    <row r="25">
      <c r="A25" s="12" t="inlineStr">
        <is>
          <t>ω, χ: từ hình học mặt cắt (số liệu); R, V, Q: công thức Manning Q = ω·(1/n)·R^(2/3)·√i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 = 3.50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20</v>
      </c>
      <c r="C5" s="10" t="n">
        <v>3.12</v>
      </c>
      <c r="D5" s="10" t="n">
        <v>0.3799999999999999</v>
      </c>
      <c r="E5" s="10" t="n"/>
      <c r="F5" s="10" t="n"/>
      <c r="G5" s="10" t="n"/>
      <c r="H5" s="10" t="n"/>
    </row>
    <row r="6">
      <c r="A6" s="13" t="inlineStr"/>
      <c r="B6" s="10" t="n">
        <v>33.67</v>
      </c>
      <c r="C6" s="10" t="n">
        <v>3.2</v>
      </c>
      <c r="D6" s="10" t="n">
        <v>0.2999999999999998</v>
      </c>
      <c r="E6" s="10" t="n">
        <v>13.67</v>
      </c>
      <c r="F6" s="10" t="n">
        <v>4.647799999999998</v>
      </c>
      <c r="G6" s="10" t="n">
        <v>-0.08000000000000007</v>
      </c>
      <c r="H6" s="10" t="n">
        <v>13.67023408724225</v>
      </c>
    </row>
    <row r="7">
      <c r="A7" s="13" t="inlineStr"/>
      <c r="B7" s="10" t="n">
        <v>37.41</v>
      </c>
      <c r="C7" s="10" t="n">
        <v>3.5</v>
      </c>
      <c r="D7" s="10" t="n">
        <v>0</v>
      </c>
      <c r="E7" s="10" t="n">
        <v>3.739999999999995</v>
      </c>
      <c r="F7" s="10" t="n">
        <v>0.5609999999999989</v>
      </c>
      <c r="G7" s="10" t="n">
        <v>-0.2999999999999998</v>
      </c>
      <c r="H7" s="10" t="n">
        <v>3.752012793155157</v>
      </c>
    </row>
    <row r="8">
      <c r="A8" s="13" t="inlineStr"/>
      <c r="B8" s="10" t="n">
        <v>40</v>
      </c>
      <c r="C8" s="10" t="n">
        <v>1.73</v>
      </c>
      <c r="D8" s="10" t="n">
        <v>1.77</v>
      </c>
      <c r="E8" s="10" t="n">
        <v>2.590000000000003</v>
      </c>
      <c r="F8" s="10" t="n">
        <v>2.292150000000003</v>
      </c>
      <c r="G8" s="10" t="n">
        <v>1.77</v>
      </c>
      <c r="H8" s="10" t="n">
        <v>3.13703681840045</v>
      </c>
    </row>
    <row r="9">
      <c r="A9" s="13" t="inlineStr"/>
      <c r="B9" s="10" t="n">
        <v>50.66</v>
      </c>
      <c r="C9" s="10" t="n">
        <v>1.32</v>
      </c>
      <c r="D9" s="10" t="n">
        <v>2.18</v>
      </c>
      <c r="E9" s="10" t="n">
        <v>10.66</v>
      </c>
      <c r="F9" s="10" t="n">
        <v>21.05349999999999</v>
      </c>
      <c r="G9" s="10" t="n">
        <v>0.4099999999999997</v>
      </c>
      <c r="H9" s="10" t="n">
        <v>10.6678817016313</v>
      </c>
    </row>
    <row r="10">
      <c r="A10" s="14" t="inlineStr">
        <is>
          <t>Tổng cộng bãi trái</t>
        </is>
      </c>
      <c r="B10" s="15" t="n"/>
      <c r="C10" s="15" t="n"/>
      <c r="D10" s="15" t="n"/>
      <c r="E10" s="15" t="n">
        <v>30.66</v>
      </c>
      <c r="F10" s="15" t="n">
        <v>28.55444999999999</v>
      </c>
      <c r="G10" s="15" t="n">
        <v>1.8</v>
      </c>
      <c r="H10" s="15" t="n">
        <v>31.22716540042916</v>
      </c>
    </row>
    <row r="11">
      <c r="A11" s="13" t="inlineStr">
        <is>
          <t>Dòng chủ</t>
        </is>
      </c>
      <c r="B11" s="10" t="n">
        <v>50.66</v>
      </c>
      <c r="C11" s="10" t="n">
        <v>1.32</v>
      </c>
      <c r="D11" s="10" t="n">
        <v>2.18</v>
      </c>
      <c r="E11" s="10" t="n"/>
      <c r="F11" s="10" t="n"/>
      <c r="G11" s="10" t="n"/>
      <c r="H11" s="10" t="n"/>
    </row>
    <row r="12">
      <c r="A12" s="13" t="inlineStr"/>
      <c r="B12" s="10" t="n">
        <v>51.51</v>
      </c>
      <c r="C12" s="10" t="n">
        <v>0.6400000000000001</v>
      </c>
      <c r="D12" s="10" t="n">
        <v>2.86</v>
      </c>
      <c r="E12" s="10" t="n">
        <v>0.8500000000000014</v>
      </c>
      <c r="F12" s="10" t="n">
        <v>2.142000000000003</v>
      </c>
      <c r="G12" s="10" t="n">
        <v>0.6800000000000002</v>
      </c>
      <c r="H12" s="10" t="n">
        <v>1.088531120363585</v>
      </c>
    </row>
    <row r="13">
      <c r="A13" s="13" t="inlineStr"/>
      <c r="B13" s="10" t="n">
        <v>60</v>
      </c>
      <c r="C13" s="10" t="n">
        <v>-1.01</v>
      </c>
      <c r="D13" s="10" t="n">
        <v>4.51</v>
      </c>
      <c r="E13" s="10" t="n">
        <v>8.490000000000002</v>
      </c>
      <c r="F13" s="10" t="n">
        <v>31.28565</v>
      </c>
      <c r="G13" s="10" t="n">
        <v>1.65</v>
      </c>
      <c r="H13" s="10" t="n">
        <v>8.648849634488972</v>
      </c>
    </row>
    <row r="14">
      <c r="A14" s="13" t="inlineStr"/>
      <c r="B14" s="10" t="n">
        <v>70.52</v>
      </c>
      <c r="C14" s="10" t="n">
        <v>-2.109999999999999</v>
      </c>
      <c r="D14" s="10" t="n">
        <v>5.609999999999999</v>
      </c>
      <c r="E14" s="10" t="n">
        <v>10.52</v>
      </c>
      <c r="F14" s="10" t="n">
        <v>53.23119999999997</v>
      </c>
      <c r="G14" s="10" t="n">
        <v>1.1</v>
      </c>
      <c r="H14" s="10" t="n">
        <v>10.57735316608082</v>
      </c>
    </row>
    <row r="15">
      <c r="A15" s="13" t="inlineStr"/>
      <c r="B15" s="10" t="n">
        <v>80</v>
      </c>
      <c r="C15" s="10" t="n">
        <v>-2.59</v>
      </c>
      <c r="D15" s="10" t="n">
        <v>6.09</v>
      </c>
      <c r="E15" s="10" t="n">
        <v>9.480000000000004</v>
      </c>
      <c r="F15" s="10" t="n">
        <v>55.45800000000002</v>
      </c>
      <c r="G15" s="10" t="n">
        <v>0.4800000000000004</v>
      </c>
      <c r="H15" s="10" t="n">
        <v>9.49214412027125</v>
      </c>
    </row>
    <row r="16">
      <c r="A16" s="13" t="inlineStr"/>
      <c r="B16" s="10" t="n">
        <v>100</v>
      </c>
      <c r="C16" s="10" t="n">
        <v>-2.1</v>
      </c>
      <c r="D16" s="10" t="n">
        <v>5.6</v>
      </c>
      <c r="E16" s="10" t="n">
        <v>20</v>
      </c>
      <c r="F16" s="10" t="n">
        <v>116.9</v>
      </c>
      <c r="G16" s="10" t="n">
        <v>-0.4900000000000002</v>
      </c>
      <c r="H16" s="10" t="n">
        <v>20.00600159952008</v>
      </c>
    </row>
    <row r="17">
      <c r="A17" s="13" t="inlineStr"/>
      <c r="B17" s="10" t="n">
        <v>120</v>
      </c>
      <c r="C17" s="10" t="n">
        <v>-3.26</v>
      </c>
      <c r="D17" s="10" t="n">
        <v>6.76</v>
      </c>
      <c r="E17" s="10" t="n">
        <v>20</v>
      </c>
      <c r="F17" s="10" t="n">
        <v>123.6</v>
      </c>
      <c r="G17" s="10" t="n">
        <v>1.16</v>
      </c>
      <c r="H17" s="10" t="n">
        <v>20.03361175624605</v>
      </c>
    </row>
    <row r="18">
      <c r="A18" s="13" t="inlineStr"/>
      <c r="B18" s="10" t="n">
        <v>140</v>
      </c>
      <c r="C18" s="10" t="n">
        <v>-4.04</v>
      </c>
      <c r="D18" s="10" t="n">
        <v>7.54</v>
      </c>
      <c r="E18" s="10" t="n">
        <v>20</v>
      </c>
      <c r="F18" s="10" t="n">
        <v>143</v>
      </c>
      <c r="G18" s="10" t="n">
        <v>0.7800000000000002</v>
      </c>
      <c r="H18" s="10" t="n">
        <v>20.01520422079175</v>
      </c>
    </row>
    <row r="19">
      <c r="A19" s="13" t="inlineStr"/>
      <c r="B19" s="10" t="n">
        <v>160</v>
      </c>
      <c r="C19" s="10" t="n">
        <v>-4.13</v>
      </c>
      <c r="D19" s="10" t="n">
        <v>7.63</v>
      </c>
      <c r="E19" s="10" t="n">
        <v>20</v>
      </c>
      <c r="F19" s="10" t="n">
        <v>151.7</v>
      </c>
      <c r="G19" s="10" t="n">
        <v>0.08999999999999986</v>
      </c>
      <c r="H19" s="10" t="n">
        <v>20.00020249897485</v>
      </c>
    </row>
    <row r="20">
      <c r="A20" s="13" t="inlineStr"/>
      <c r="B20" s="10" t="n">
        <v>180</v>
      </c>
      <c r="C20" s="10" t="n">
        <v>-3.87</v>
      </c>
      <c r="D20" s="10" t="n">
        <v>7.37</v>
      </c>
      <c r="E20" s="10" t="n">
        <v>20</v>
      </c>
      <c r="F20" s="10" t="n">
        <v>150</v>
      </c>
      <c r="G20" s="10" t="n">
        <v>-0.2599999999999998</v>
      </c>
      <c r="H20" s="10" t="n">
        <v>20.00168992860353</v>
      </c>
    </row>
    <row r="21">
      <c r="A21" s="13" t="inlineStr"/>
      <c r="B21" s="10" t="n">
        <v>200</v>
      </c>
      <c r="C21" s="10" t="n">
        <v>-4.09</v>
      </c>
      <c r="D21" s="10" t="n">
        <v>7.59</v>
      </c>
      <c r="E21" s="10" t="n">
        <v>20</v>
      </c>
      <c r="F21" s="10" t="n">
        <v>149.6</v>
      </c>
      <c r="G21" s="10" t="n">
        <v>0.2199999999999998</v>
      </c>
      <c r="H21" s="10" t="n">
        <v>20.00120996339971</v>
      </c>
    </row>
    <row r="22">
      <c r="A22" s="13" t="inlineStr"/>
      <c r="B22" s="10" t="n">
        <v>220</v>
      </c>
      <c r="C22" s="10" t="n">
        <v>-4.25</v>
      </c>
      <c r="D22" s="10" t="n">
        <v>7.75</v>
      </c>
      <c r="E22" s="10" t="n">
        <v>20</v>
      </c>
      <c r="F22" s="10" t="n">
        <v>153.4</v>
      </c>
      <c r="G22" s="10" t="n">
        <v>0.1600000000000001</v>
      </c>
      <c r="H22" s="10" t="n">
        <v>20.00063998976033</v>
      </c>
    </row>
    <row r="23">
      <c r="A23" s="13" t="inlineStr"/>
      <c r="B23" s="10" t="n">
        <v>240</v>
      </c>
      <c r="C23" s="10" t="n">
        <v>-3.720000000000001</v>
      </c>
      <c r="D23" s="10" t="n">
        <v>7.220000000000001</v>
      </c>
      <c r="E23" s="10" t="n">
        <v>20</v>
      </c>
      <c r="F23" s="10" t="n">
        <v>149.7</v>
      </c>
      <c r="G23" s="10" t="n">
        <v>-0.5299999999999994</v>
      </c>
      <c r="H23" s="10" t="n">
        <v>20.00702126754505</v>
      </c>
    </row>
    <row r="24">
      <c r="A24" s="13" t="inlineStr"/>
      <c r="B24" s="10" t="n">
        <v>260</v>
      </c>
      <c r="C24" s="10" t="n">
        <v>-3.45</v>
      </c>
      <c r="D24" s="10" t="n">
        <v>6.95</v>
      </c>
      <c r="E24" s="10" t="n">
        <v>20</v>
      </c>
      <c r="F24" s="10" t="n">
        <v>141.7</v>
      </c>
      <c r="G24" s="10" t="n">
        <v>-0.2700000000000005</v>
      </c>
      <c r="H24" s="10" t="n">
        <v>20.00182241696991</v>
      </c>
    </row>
    <row r="25">
      <c r="A25" s="13" t="inlineStr"/>
      <c r="B25" s="10" t="n">
        <v>280</v>
      </c>
      <c r="C25" s="10" t="n">
        <v>-3.58</v>
      </c>
      <c r="D25" s="10" t="n">
        <v>7.08</v>
      </c>
      <c r="E25" s="10" t="n">
        <v>20</v>
      </c>
      <c r="F25" s="10" t="n">
        <v>140.3</v>
      </c>
      <c r="G25" s="10" t="n">
        <v>0.1299999999999999</v>
      </c>
      <c r="H25" s="10" t="n">
        <v>20.00042249553744</v>
      </c>
    </row>
    <row r="26">
      <c r="A26" s="13" t="inlineStr"/>
      <c r="B26" s="10" t="n">
        <v>300</v>
      </c>
      <c r="C26" s="10" t="n">
        <v>-2.890000000000001</v>
      </c>
      <c r="D26" s="10" t="n">
        <v>6.390000000000001</v>
      </c>
      <c r="E26" s="10" t="n">
        <v>20</v>
      </c>
      <c r="F26" s="10" t="n">
        <v>134.7</v>
      </c>
      <c r="G26" s="10" t="n">
        <v>-0.6899999999999995</v>
      </c>
      <c r="H26" s="10" t="n">
        <v>20.01189896036855</v>
      </c>
    </row>
    <row r="27">
      <c r="A27" s="13" t="inlineStr"/>
      <c r="B27" s="10" t="n">
        <v>314.06</v>
      </c>
      <c r="C27" s="10" t="n">
        <v>-2.81</v>
      </c>
      <c r="D27" s="10" t="n">
        <v>6.31</v>
      </c>
      <c r="E27" s="10" t="n">
        <v>14.06</v>
      </c>
      <c r="F27" s="10" t="n">
        <v>89.28100000000002</v>
      </c>
      <c r="G27" s="10" t="n">
        <v>-0.08000000000000007</v>
      </c>
      <c r="H27" s="10" t="n">
        <v>14.060227594175</v>
      </c>
    </row>
    <row r="28">
      <c r="A28" s="13" t="inlineStr"/>
      <c r="B28" s="10" t="n">
        <v>320</v>
      </c>
      <c r="C28" s="10" t="n">
        <v>-1.5</v>
      </c>
      <c r="D28" s="10" t="n">
        <v>5</v>
      </c>
      <c r="E28" s="10" t="n">
        <v>5.939999999999998</v>
      </c>
      <c r="F28" s="10" t="n">
        <v>33.59069999999999</v>
      </c>
      <c r="G28" s="10" t="n">
        <v>-1.31</v>
      </c>
      <c r="H28" s="10" t="n">
        <v>6.082737870400136</v>
      </c>
    </row>
    <row r="29">
      <c r="A29" s="13" t="inlineStr"/>
      <c r="B29" s="10" t="n">
        <v>332.31</v>
      </c>
      <c r="C29" s="10" t="n">
        <v>-0.1899999999999999</v>
      </c>
      <c r="D29" s="10" t="n">
        <v>3.69</v>
      </c>
      <c r="E29" s="10" t="n">
        <v>12.31</v>
      </c>
      <c r="F29" s="10" t="n">
        <v>53.48695000000001</v>
      </c>
      <c r="G29" s="10" t="n">
        <v>-1.31</v>
      </c>
      <c r="H29" s="10" t="n">
        <v>12.37950725998414</v>
      </c>
    </row>
    <row r="30">
      <c r="A30" s="13" t="inlineStr"/>
      <c r="B30" s="10" t="n">
        <v>335.36</v>
      </c>
      <c r="C30" s="10" t="n">
        <v>1.43</v>
      </c>
      <c r="D30" s="10" t="n">
        <v>2.07</v>
      </c>
      <c r="E30" s="10" t="n">
        <v>3.050000000000011</v>
      </c>
      <c r="F30" s="10" t="n">
        <v>8.784000000000033</v>
      </c>
      <c r="G30" s="10" t="n">
        <v>-1.62</v>
      </c>
      <c r="H30" s="10" t="n">
        <v>3.453534421429743</v>
      </c>
    </row>
    <row r="31">
      <c r="A31" s="14" t="inlineStr">
        <is>
          <t>Tổng cộng dòng chủ</t>
        </is>
      </c>
      <c r="B31" s="15" t="n"/>
      <c r="C31" s="15" t="n"/>
      <c r="D31" s="15" t="n"/>
      <c r="E31" s="15" t="n">
        <v>284.7</v>
      </c>
      <c r="F31" s="15" t="n">
        <v>1881.8595</v>
      </c>
      <c r="G31" s="15" t="n">
        <v>-0.1099999999999994</v>
      </c>
      <c r="H31" s="15" t="n">
        <v>285.8626102849109</v>
      </c>
    </row>
    <row r="32">
      <c r="A32" s="13" t="inlineStr">
        <is>
          <t>Bãi phải</t>
        </is>
      </c>
      <c r="B32" s="10" t="n">
        <v>335.36</v>
      </c>
      <c r="C32" s="10" t="n">
        <v>1.43</v>
      </c>
      <c r="D32" s="10" t="n">
        <v>2.07</v>
      </c>
      <c r="E32" s="10" t="n"/>
      <c r="F32" s="10" t="n"/>
      <c r="G32" s="10" t="n"/>
      <c r="H32" s="10" t="n"/>
    </row>
    <row r="33">
      <c r="A33" s="13" t="inlineStr"/>
      <c r="B33" s="10" t="n">
        <v>340</v>
      </c>
      <c r="C33" s="10" t="n">
        <v>1.64</v>
      </c>
      <c r="D33" s="10" t="n">
        <v>1.86</v>
      </c>
      <c r="E33" s="10" t="n">
        <v>4.639999999999986</v>
      </c>
      <c r="F33" s="10" t="n">
        <v>9.117599999999975</v>
      </c>
      <c r="G33" s="10" t="n">
        <v>-0.2100000000000002</v>
      </c>
      <c r="H33" s="10" t="n">
        <v>4.644749724150901</v>
      </c>
    </row>
    <row r="34">
      <c r="A34" s="13" t="inlineStr"/>
      <c r="B34" s="10" t="n">
        <v>360</v>
      </c>
      <c r="C34" s="10" t="n">
        <v>1.47</v>
      </c>
      <c r="D34" s="10" t="n">
        <v>2.03</v>
      </c>
      <c r="E34" s="10" t="n">
        <v>20</v>
      </c>
      <c r="F34" s="10" t="n">
        <v>38.90000000000001</v>
      </c>
      <c r="G34" s="10" t="n">
        <v>0.1700000000000002</v>
      </c>
      <c r="H34" s="10" t="n">
        <v>20.00072248695032</v>
      </c>
    </row>
    <row r="35">
      <c r="A35" s="13" t="inlineStr"/>
      <c r="B35" s="10" t="n">
        <v>363.88</v>
      </c>
      <c r="C35" s="10" t="n">
        <v>1.46</v>
      </c>
      <c r="D35" s="10" t="n">
        <v>2.04</v>
      </c>
      <c r="E35" s="10" t="n">
        <v>3.879999999999995</v>
      </c>
      <c r="F35" s="10" t="n">
        <v>7.895799999999991</v>
      </c>
      <c r="G35" s="10" t="n">
        <v>0.009999999999999787</v>
      </c>
      <c r="H35" s="10" t="n">
        <v>3.880012886576534</v>
      </c>
    </row>
    <row r="36">
      <c r="A36" s="13" t="inlineStr"/>
      <c r="B36" s="10" t="n">
        <v>367.67</v>
      </c>
      <c r="C36" s="10" t="n">
        <v>1.49</v>
      </c>
      <c r="D36" s="10" t="n">
        <v>2.01</v>
      </c>
      <c r="E36" s="10" t="n">
        <v>3.79000000000002</v>
      </c>
      <c r="F36" s="10" t="n">
        <v>7.674750000000041</v>
      </c>
      <c r="G36" s="10" t="n">
        <v>-0.03000000000000025</v>
      </c>
      <c r="H36" s="10" t="n">
        <v>3.790118731649466</v>
      </c>
    </row>
    <row r="37">
      <c r="A37" s="13" t="inlineStr"/>
      <c r="B37" s="10" t="n">
        <v>368.68</v>
      </c>
      <c r="C37" s="10" t="n">
        <v>1.64</v>
      </c>
      <c r="D37" s="10" t="n">
        <v>1.86</v>
      </c>
      <c r="E37" s="10" t="n">
        <v>1.009999999999991</v>
      </c>
      <c r="F37" s="10" t="n">
        <v>1.954349999999982</v>
      </c>
      <c r="G37" s="10" t="n">
        <v>-0.1499999999999997</v>
      </c>
      <c r="H37" s="10" t="n">
        <v>1.021077861869496</v>
      </c>
    </row>
    <row r="38">
      <c r="A38" s="14" t="inlineStr">
        <is>
          <t>Tổng cộng bãi phải</t>
        </is>
      </c>
      <c r="B38" s="15" t="n"/>
      <c r="C38" s="15" t="n"/>
      <c r="D38" s="15" t="n"/>
      <c r="E38" s="15" t="n">
        <v>33.31999999999999</v>
      </c>
      <c r="F38" s="15" t="n">
        <v>65.54249999999999</v>
      </c>
      <c r="G38" s="15" t="n">
        <v>-0.2100000000000002</v>
      </c>
      <c r="H38" s="15" t="n">
        <v>33.33668169119671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H2 = 3.20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20</v>
      </c>
      <c r="C5" s="10" t="n">
        <v>3.12</v>
      </c>
      <c r="D5" s="10" t="n">
        <v>0.08000000000000007</v>
      </c>
      <c r="E5" s="10" t="n"/>
      <c r="F5" s="10" t="n"/>
      <c r="G5" s="10" t="n"/>
      <c r="H5" s="10" t="n"/>
    </row>
    <row r="6">
      <c r="A6" s="13" t="inlineStr"/>
      <c r="B6" s="10" t="n">
        <v>33.67</v>
      </c>
      <c r="C6" s="10" t="n">
        <v>3.2</v>
      </c>
      <c r="D6" s="10" t="n">
        <v>0</v>
      </c>
      <c r="E6" s="10" t="n">
        <v>13.67</v>
      </c>
      <c r="F6" s="10" t="n">
        <v>0.5468000000000005</v>
      </c>
      <c r="G6" s="10" t="n">
        <v>-0.08000000000000007</v>
      </c>
      <c r="H6" s="10" t="n">
        <v>13.67023408724225</v>
      </c>
    </row>
    <row r="7">
      <c r="A7" s="13" t="inlineStr">
        <is>
          <t>(vũng riêng)</t>
        </is>
      </c>
      <c r="B7" s="10" t="n">
        <v>37.84898305084745</v>
      </c>
      <c r="C7" s="10" t="n">
        <v>3.2</v>
      </c>
      <c r="D7" s="10" t="n">
        <v>0</v>
      </c>
      <c r="E7" s="10" t="n"/>
      <c r="F7" s="10" t="n"/>
      <c r="G7" s="10" t="n"/>
      <c r="H7" s="10" t="n"/>
    </row>
    <row r="8">
      <c r="A8" s="13" t="inlineStr"/>
      <c r="B8" s="10" t="n">
        <v>40</v>
      </c>
      <c r="C8" s="10" t="n">
        <v>1.73</v>
      </c>
      <c r="D8" s="10" t="n">
        <v>1.47</v>
      </c>
      <c r="E8" s="10" t="n">
        <v>2.151016949152549</v>
      </c>
      <c r="F8" s="10" t="n">
        <v>1.580997457627124</v>
      </c>
      <c r="G8" s="10" t="n">
        <v>1.47</v>
      </c>
      <c r="H8" s="10" t="n">
        <v>2.60533566273936</v>
      </c>
    </row>
    <row r="9">
      <c r="A9" s="13" t="inlineStr"/>
      <c r="B9" s="10" t="n">
        <v>50.66</v>
      </c>
      <c r="C9" s="10" t="n">
        <v>1.32</v>
      </c>
      <c r="D9" s="10" t="n">
        <v>1.88</v>
      </c>
      <c r="E9" s="10" t="n">
        <v>10.66</v>
      </c>
      <c r="F9" s="10" t="n">
        <v>17.8555</v>
      </c>
      <c r="G9" s="10" t="n">
        <v>0.4099999999999999</v>
      </c>
      <c r="H9" s="10" t="n">
        <v>10.6678817016313</v>
      </c>
    </row>
    <row r="10">
      <c r="A10" s="14" t="inlineStr">
        <is>
          <t>Tổng cộng bãi trái</t>
        </is>
      </c>
      <c r="B10" s="15" t="n"/>
      <c r="C10" s="15" t="n"/>
      <c r="D10" s="15" t="n"/>
      <c r="E10" s="15" t="n">
        <v>26.48101694915255</v>
      </c>
      <c r="F10" s="15" t="n">
        <v>19.98329745762712</v>
      </c>
      <c r="G10" s="15" t="n">
        <v>1.8</v>
      </c>
      <c r="H10" s="15" t="n">
        <v>26.94345145161292</v>
      </c>
    </row>
    <row r="11">
      <c r="A11" s="13" t="inlineStr">
        <is>
          <t>Dòng chủ</t>
        </is>
      </c>
      <c r="B11" s="10" t="n">
        <v>50.66</v>
      </c>
      <c r="C11" s="10" t="n">
        <v>1.32</v>
      </c>
      <c r="D11" s="10" t="n">
        <v>1.88</v>
      </c>
      <c r="E11" s="10" t="n"/>
      <c r="F11" s="10" t="n"/>
      <c r="G11" s="10" t="n"/>
      <c r="H11" s="10" t="n"/>
    </row>
    <row r="12">
      <c r="A12" s="13" t="inlineStr"/>
      <c r="B12" s="10" t="n">
        <v>51.51</v>
      </c>
      <c r="C12" s="10" t="n">
        <v>0.6400000000000001</v>
      </c>
      <c r="D12" s="10" t="n">
        <v>2.56</v>
      </c>
      <c r="E12" s="10" t="n">
        <v>0.8500000000000014</v>
      </c>
      <c r="F12" s="10" t="n">
        <v>1.887000000000003</v>
      </c>
      <c r="G12" s="10" t="n">
        <v>0.6799999999999999</v>
      </c>
      <c r="H12" s="10" t="n">
        <v>1.088531120363585</v>
      </c>
    </row>
    <row r="13">
      <c r="A13" s="13" t="inlineStr"/>
      <c r="B13" s="10" t="n">
        <v>60</v>
      </c>
      <c r="C13" s="10" t="n">
        <v>-1.01</v>
      </c>
      <c r="D13" s="10" t="n">
        <v>4.21</v>
      </c>
      <c r="E13" s="10" t="n">
        <v>8.490000000000002</v>
      </c>
      <c r="F13" s="10" t="n">
        <v>28.73865</v>
      </c>
      <c r="G13" s="10" t="n">
        <v>1.65</v>
      </c>
      <c r="H13" s="10" t="n">
        <v>8.648849634488972</v>
      </c>
    </row>
    <row r="14">
      <c r="A14" s="13" t="inlineStr"/>
      <c r="B14" s="10" t="n">
        <v>70.52</v>
      </c>
      <c r="C14" s="10" t="n">
        <v>-2.11</v>
      </c>
      <c r="D14" s="10" t="n">
        <v>5.31</v>
      </c>
      <c r="E14" s="10" t="n">
        <v>10.52</v>
      </c>
      <c r="F14" s="10" t="n">
        <v>50.07519999999998</v>
      </c>
      <c r="G14" s="10" t="n">
        <v>1.100000000000001</v>
      </c>
      <c r="H14" s="10" t="n">
        <v>10.57735316608082</v>
      </c>
    </row>
    <row r="15">
      <c r="A15" s="13" t="inlineStr"/>
      <c r="B15" s="10" t="n">
        <v>80</v>
      </c>
      <c r="C15" s="10" t="n">
        <v>-2.59</v>
      </c>
      <c r="D15" s="10" t="n">
        <v>5.79</v>
      </c>
      <c r="E15" s="10" t="n">
        <v>9.480000000000004</v>
      </c>
      <c r="F15" s="10" t="n">
        <v>52.61400000000003</v>
      </c>
      <c r="G15" s="10" t="n">
        <v>0.4799999999999995</v>
      </c>
      <c r="H15" s="10" t="n">
        <v>9.49214412027125</v>
      </c>
    </row>
    <row r="16">
      <c r="A16" s="13" t="inlineStr"/>
      <c r="B16" s="10" t="n">
        <v>100</v>
      </c>
      <c r="C16" s="10" t="n">
        <v>-2.100000000000001</v>
      </c>
      <c r="D16" s="10" t="n">
        <v>5.300000000000001</v>
      </c>
      <c r="E16" s="10" t="n">
        <v>20</v>
      </c>
      <c r="F16" s="10" t="n">
        <v>110.9</v>
      </c>
      <c r="G16" s="10" t="n">
        <v>-0.4899999999999993</v>
      </c>
      <c r="H16" s="10" t="n">
        <v>20.00600159952008</v>
      </c>
    </row>
    <row r="17">
      <c r="A17" s="13" t="inlineStr"/>
      <c r="B17" s="10" t="n">
        <v>120</v>
      </c>
      <c r="C17" s="10" t="n">
        <v>-3.26</v>
      </c>
      <c r="D17" s="10" t="n">
        <v>6.46</v>
      </c>
      <c r="E17" s="10" t="n">
        <v>20</v>
      </c>
      <c r="F17" s="10" t="n">
        <v>117.6</v>
      </c>
      <c r="G17" s="10" t="n">
        <v>1.159999999999999</v>
      </c>
      <c r="H17" s="10" t="n">
        <v>20.03361175624605</v>
      </c>
    </row>
    <row r="18">
      <c r="A18" s="13" t="inlineStr"/>
      <c r="B18" s="10" t="n">
        <v>140</v>
      </c>
      <c r="C18" s="10" t="n">
        <v>-4.04</v>
      </c>
      <c r="D18" s="10" t="n">
        <v>7.24</v>
      </c>
      <c r="E18" s="10" t="n">
        <v>20</v>
      </c>
      <c r="F18" s="10" t="n">
        <v>137</v>
      </c>
      <c r="G18" s="10" t="n">
        <v>0.7800000000000002</v>
      </c>
      <c r="H18" s="10" t="n">
        <v>20.01520422079175</v>
      </c>
    </row>
    <row r="19">
      <c r="A19" s="13" t="inlineStr"/>
      <c r="B19" s="10" t="n">
        <v>160</v>
      </c>
      <c r="C19" s="10" t="n">
        <v>-4.13</v>
      </c>
      <c r="D19" s="10" t="n">
        <v>7.33</v>
      </c>
      <c r="E19" s="10" t="n">
        <v>20</v>
      </c>
      <c r="F19" s="10" t="n">
        <v>145.7</v>
      </c>
      <c r="G19" s="10" t="n">
        <v>0.08999999999999986</v>
      </c>
      <c r="H19" s="10" t="n">
        <v>20.00020249897485</v>
      </c>
    </row>
    <row r="20">
      <c r="A20" s="13" t="inlineStr"/>
      <c r="B20" s="10" t="n">
        <v>180</v>
      </c>
      <c r="C20" s="10" t="n">
        <v>-3.87</v>
      </c>
      <c r="D20" s="10" t="n">
        <v>7.07</v>
      </c>
      <c r="E20" s="10" t="n">
        <v>20</v>
      </c>
      <c r="F20" s="10" t="n">
        <v>144</v>
      </c>
      <c r="G20" s="10" t="n">
        <v>-0.2599999999999998</v>
      </c>
      <c r="H20" s="10" t="n">
        <v>20.00168992860353</v>
      </c>
    </row>
    <row r="21">
      <c r="A21" s="13" t="inlineStr"/>
      <c r="B21" s="10" t="n">
        <v>200</v>
      </c>
      <c r="C21" s="10" t="n">
        <v>-4.09</v>
      </c>
      <c r="D21" s="10" t="n">
        <v>7.29</v>
      </c>
      <c r="E21" s="10" t="n">
        <v>20</v>
      </c>
      <c r="F21" s="10" t="n">
        <v>143.6</v>
      </c>
      <c r="G21" s="10" t="n">
        <v>0.2199999999999998</v>
      </c>
      <c r="H21" s="10" t="n">
        <v>20.00120996339971</v>
      </c>
    </row>
    <row r="22">
      <c r="A22" s="13" t="inlineStr"/>
      <c r="B22" s="10" t="n">
        <v>220</v>
      </c>
      <c r="C22" s="10" t="n">
        <v>-4.25</v>
      </c>
      <c r="D22" s="10" t="n">
        <v>7.45</v>
      </c>
      <c r="E22" s="10" t="n">
        <v>20</v>
      </c>
      <c r="F22" s="10" t="n">
        <v>147.4</v>
      </c>
      <c r="G22" s="10" t="n">
        <v>0.1600000000000001</v>
      </c>
      <c r="H22" s="10" t="n">
        <v>20.00063998976033</v>
      </c>
    </row>
    <row r="23">
      <c r="A23" s="13" t="inlineStr"/>
      <c r="B23" s="10" t="n">
        <v>240</v>
      </c>
      <c r="C23" s="10" t="n">
        <v>-3.72</v>
      </c>
      <c r="D23" s="10" t="n">
        <v>6.92</v>
      </c>
      <c r="E23" s="10" t="n">
        <v>20</v>
      </c>
      <c r="F23" s="10" t="n">
        <v>143.7</v>
      </c>
      <c r="G23" s="10" t="n">
        <v>-0.5300000000000002</v>
      </c>
      <c r="H23" s="10" t="n">
        <v>20.00702126754505</v>
      </c>
    </row>
    <row r="24">
      <c r="A24" s="13" t="inlineStr"/>
      <c r="B24" s="10" t="n">
        <v>260</v>
      </c>
      <c r="C24" s="10" t="n">
        <v>-3.45</v>
      </c>
      <c r="D24" s="10" t="n">
        <v>6.65</v>
      </c>
      <c r="E24" s="10" t="n">
        <v>20</v>
      </c>
      <c r="F24" s="10" t="n">
        <v>135.7</v>
      </c>
      <c r="G24" s="10" t="n">
        <v>-0.2699999999999996</v>
      </c>
      <c r="H24" s="10" t="n">
        <v>20.00182241696991</v>
      </c>
    </row>
    <row r="25">
      <c r="A25" s="13" t="inlineStr"/>
      <c r="B25" s="10" t="n">
        <v>280</v>
      </c>
      <c r="C25" s="10" t="n">
        <v>-3.58</v>
      </c>
      <c r="D25" s="10" t="n">
        <v>6.78</v>
      </c>
      <c r="E25" s="10" t="n">
        <v>20</v>
      </c>
      <c r="F25" s="10" t="n">
        <v>134.3</v>
      </c>
      <c r="G25" s="10" t="n">
        <v>0.1299999999999999</v>
      </c>
      <c r="H25" s="10" t="n">
        <v>20.00042249553744</v>
      </c>
    </row>
    <row r="26">
      <c r="A26" s="13" t="inlineStr"/>
      <c r="B26" s="10" t="n">
        <v>300</v>
      </c>
      <c r="C26" s="10" t="n">
        <v>-2.89</v>
      </c>
      <c r="D26" s="10" t="n">
        <v>6.09</v>
      </c>
      <c r="E26" s="10" t="n">
        <v>20</v>
      </c>
      <c r="F26" s="10" t="n">
        <v>128.7</v>
      </c>
      <c r="G26" s="10" t="n">
        <v>-0.6900000000000004</v>
      </c>
      <c r="H26" s="10" t="n">
        <v>20.01189896036855</v>
      </c>
    </row>
    <row r="27">
      <c r="A27" s="13" t="inlineStr"/>
      <c r="B27" s="10" t="n">
        <v>314.06</v>
      </c>
      <c r="C27" s="10" t="n">
        <v>-2.81</v>
      </c>
      <c r="D27" s="10" t="n">
        <v>6.01</v>
      </c>
      <c r="E27" s="10" t="n">
        <v>14.06</v>
      </c>
      <c r="F27" s="10" t="n">
        <v>85.06300000000002</v>
      </c>
      <c r="G27" s="10" t="n">
        <v>-0.08000000000000007</v>
      </c>
      <c r="H27" s="10" t="n">
        <v>14.060227594175</v>
      </c>
    </row>
    <row r="28">
      <c r="A28" s="13" t="inlineStr"/>
      <c r="B28" s="10" t="n">
        <v>320</v>
      </c>
      <c r="C28" s="10" t="n">
        <v>-1.5</v>
      </c>
      <c r="D28" s="10" t="n">
        <v>4.7</v>
      </c>
      <c r="E28" s="10" t="n">
        <v>5.939999999999998</v>
      </c>
      <c r="F28" s="10" t="n">
        <v>31.80869999999999</v>
      </c>
      <c r="G28" s="10" t="n">
        <v>-1.31</v>
      </c>
      <c r="H28" s="10" t="n">
        <v>6.082737870400135</v>
      </c>
    </row>
    <row r="29">
      <c r="A29" s="13" t="inlineStr"/>
      <c r="B29" s="10" t="n">
        <v>332.31</v>
      </c>
      <c r="C29" s="10" t="n">
        <v>-0.1899999999999999</v>
      </c>
      <c r="D29" s="10" t="n">
        <v>3.39</v>
      </c>
      <c r="E29" s="10" t="n">
        <v>12.31</v>
      </c>
      <c r="F29" s="10" t="n">
        <v>49.79395000000001</v>
      </c>
      <c r="G29" s="10" t="n">
        <v>-1.31</v>
      </c>
      <c r="H29" s="10" t="n">
        <v>12.37950725998414</v>
      </c>
    </row>
    <row r="30">
      <c r="A30" s="13" t="inlineStr"/>
      <c r="B30" s="10" t="n">
        <v>335.36</v>
      </c>
      <c r="C30" s="10" t="n">
        <v>1.43</v>
      </c>
      <c r="D30" s="10" t="n">
        <v>1.77</v>
      </c>
      <c r="E30" s="10" t="n">
        <v>3.050000000000011</v>
      </c>
      <c r="F30" s="10" t="n">
        <v>7.86900000000003</v>
      </c>
      <c r="G30" s="10" t="n">
        <v>-1.62</v>
      </c>
      <c r="H30" s="10" t="n">
        <v>3.453534421429743</v>
      </c>
    </row>
    <row r="31">
      <c r="A31" s="14" t="inlineStr">
        <is>
          <t>Tổng cộng dòng chủ</t>
        </is>
      </c>
      <c r="B31" s="15" t="n"/>
      <c r="C31" s="15" t="n"/>
      <c r="D31" s="15" t="n"/>
      <c r="E31" s="15" t="n">
        <v>284.7</v>
      </c>
      <c r="F31" s="15" t="n">
        <v>1796.4495</v>
      </c>
      <c r="G31" s="15" t="n">
        <v>-0.1099999999999997</v>
      </c>
      <c r="H31" s="15" t="n">
        <v>285.8626102849109</v>
      </c>
    </row>
    <row r="32">
      <c r="A32" s="13" t="inlineStr">
        <is>
          <t>Bãi phải</t>
        </is>
      </c>
      <c r="B32" s="10" t="n">
        <v>335.36</v>
      </c>
      <c r="C32" s="10" t="n">
        <v>1.43</v>
      </c>
      <c r="D32" s="10" t="n">
        <v>1.77</v>
      </c>
      <c r="E32" s="10" t="n"/>
      <c r="F32" s="10" t="n"/>
      <c r="G32" s="10" t="n"/>
      <c r="H32" s="10" t="n"/>
    </row>
    <row r="33">
      <c r="A33" s="13" t="inlineStr"/>
      <c r="B33" s="10" t="n">
        <v>340</v>
      </c>
      <c r="C33" s="10" t="n">
        <v>1.64</v>
      </c>
      <c r="D33" s="10" t="n">
        <v>1.56</v>
      </c>
      <c r="E33" s="10" t="n">
        <v>4.639999999999986</v>
      </c>
      <c r="F33" s="10" t="n">
        <v>7.725599999999979</v>
      </c>
      <c r="G33" s="10" t="n">
        <v>-0.21</v>
      </c>
      <c r="H33" s="10" t="n">
        <v>4.644749724150901</v>
      </c>
    </row>
    <row r="34">
      <c r="A34" s="13" t="inlineStr"/>
      <c r="B34" s="10" t="n">
        <v>360</v>
      </c>
      <c r="C34" s="10" t="n">
        <v>1.47</v>
      </c>
      <c r="D34" s="10" t="n">
        <v>1.73</v>
      </c>
      <c r="E34" s="10" t="n">
        <v>20</v>
      </c>
      <c r="F34" s="10" t="n">
        <v>32.90000000000001</v>
      </c>
      <c r="G34" s="10" t="n">
        <v>0.1699999999999999</v>
      </c>
      <c r="H34" s="10" t="n">
        <v>20.00072248695032</v>
      </c>
    </row>
    <row r="35">
      <c r="A35" s="13" t="inlineStr"/>
      <c r="B35" s="10" t="n">
        <v>363.88</v>
      </c>
      <c r="C35" s="10" t="n">
        <v>1.46</v>
      </c>
      <c r="D35" s="10" t="n">
        <v>1.74</v>
      </c>
      <c r="E35" s="10" t="n">
        <v>3.879999999999995</v>
      </c>
      <c r="F35" s="10" t="n">
        <v>6.731799999999994</v>
      </c>
      <c r="G35" s="10" t="n">
        <v>0.01000000000000001</v>
      </c>
      <c r="H35" s="10" t="n">
        <v>3.880012886576534</v>
      </c>
    </row>
    <row r="36">
      <c r="A36" s="13" t="inlineStr"/>
      <c r="B36" s="10" t="n">
        <v>367.67</v>
      </c>
      <c r="C36" s="10" t="n">
        <v>1.49</v>
      </c>
      <c r="D36" s="10" t="n">
        <v>1.71</v>
      </c>
      <c r="E36" s="10" t="n">
        <v>3.79000000000002</v>
      </c>
      <c r="F36" s="10" t="n">
        <v>6.537750000000035</v>
      </c>
      <c r="G36" s="10" t="n">
        <v>-0.03000000000000003</v>
      </c>
      <c r="H36" s="10" t="n">
        <v>3.790118731649466</v>
      </c>
    </row>
    <row r="37">
      <c r="A37" s="13" t="inlineStr"/>
      <c r="B37" s="10" t="n">
        <v>368.68</v>
      </c>
      <c r="C37" s="10" t="n">
        <v>1.64</v>
      </c>
      <c r="D37" s="10" t="n">
        <v>1.56</v>
      </c>
      <c r="E37" s="10" t="n">
        <v>1.009999999999991</v>
      </c>
      <c r="F37" s="10" t="n">
        <v>1.651349999999985</v>
      </c>
      <c r="G37" s="10" t="n">
        <v>-0.1499999999999999</v>
      </c>
      <c r="H37" s="10" t="n">
        <v>1.021077861869496</v>
      </c>
    </row>
    <row r="38">
      <c r="A38" s="14" t="inlineStr">
        <is>
          <t>Tổng cộng bãi phải</t>
        </is>
      </c>
      <c r="B38" s="15" t="n"/>
      <c r="C38" s="15" t="n"/>
      <c r="D38" s="15" t="n"/>
      <c r="E38" s="15" t="n">
        <v>33.31999999999999</v>
      </c>
      <c r="F38" s="15" t="n">
        <v>55.5465</v>
      </c>
      <c r="G38" s="15" t="n">
        <v>-0.21</v>
      </c>
      <c r="H38" s="15" t="n">
        <v>33.33668169119671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H3 = 2.90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38.28796610169491</v>
      </c>
      <c r="C5" s="10" t="n">
        <v>2.9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40</v>
      </c>
      <c r="C6" s="10" t="n">
        <v>1.73</v>
      </c>
      <c r="D6" s="10" t="n">
        <v>1.17</v>
      </c>
      <c r="E6" s="10" t="n">
        <v>1.712033898305087</v>
      </c>
      <c r="F6" s="10" t="n">
        <v>1.001539830508476</v>
      </c>
      <c r="G6" s="10" t="n">
        <v>1.17</v>
      </c>
      <c r="H6" s="10" t="n">
        <v>2.073634507078264</v>
      </c>
    </row>
    <row r="7">
      <c r="A7" s="13" t="inlineStr"/>
      <c r="B7" s="10" t="n">
        <v>50.66</v>
      </c>
      <c r="C7" s="10" t="n">
        <v>1.32</v>
      </c>
      <c r="D7" s="10" t="n">
        <v>1.58</v>
      </c>
      <c r="E7" s="10" t="n">
        <v>10.66</v>
      </c>
      <c r="F7" s="10" t="n">
        <v>14.6575</v>
      </c>
      <c r="G7" s="10" t="n">
        <v>0.4099999999999999</v>
      </c>
      <c r="H7" s="10" t="n">
        <v>10.6678817016313</v>
      </c>
    </row>
    <row r="8">
      <c r="A8" s="14" t="inlineStr">
        <is>
          <t>Tổng cộng bãi trái</t>
        </is>
      </c>
      <c r="B8" s="15" t="n"/>
      <c r="C8" s="15" t="n"/>
      <c r="D8" s="15" t="n"/>
      <c r="E8" s="15" t="n">
        <v>12.37203389830508</v>
      </c>
      <c r="F8" s="15" t="n">
        <v>15.65903983050847</v>
      </c>
      <c r="G8" s="15" t="n">
        <v>1.58</v>
      </c>
      <c r="H8" s="15" t="n">
        <v>12.74151620870956</v>
      </c>
    </row>
    <row r="9">
      <c r="A9" s="13" t="inlineStr">
        <is>
          <t>Dòng chủ</t>
        </is>
      </c>
      <c r="B9" s="10" t="n">
        <v>50.66</v>
      </c>
      <c r="C9" s="10" t="n">
        <v>1.32</v>
      </c>
      <c r="D9" s="10" t="n">
        <v>1.58</v>
      </c>
      <c r="E9" s="10" t="n"/>
      <c r="F9" s="10" t="n"/>
      <c r="G9" s="10" t="n"/>
      <c r="H9" s="10" t="n"/>
    </row>
    <row r="10">
      <c r="A10" s="13" t="inlineStr"/>
      <c r="B10" s="10" t="n">
        <v>51.51</v>
      </c>
      <c r="C10" s="10" t="n">
        <v>0.6400000000000001</v>
      </c>
      <c r="D10" s="10" t="n">
        <v>2.26</v>
      </c>
      <c r="E10" s="10" t="n">
        <v>0.8500000000000014</v>
      </c>
      <c r="F10" s="10" t="n">
        <v>1.632000000000003</v>
      </c>
      <c r="G10" s="10" t="n">
        <v>0.6799999999999999</v>
      </c>
      <c r="H10" s="10" t="n">
        <v>1.088531120363585</v>
      </c>
    </row>
    <row r="11">
      <c r="A11" s="13" t="inlineStr"/>
      <c r="B11" s="10" t="n">
        <v>60</v>
      </c>
      <c r="C11" s="10" t="n">
        <v>-1.01</v>
      </c>
      <c r="D11" s="10" t="n">
        <v>3.91</v>
      </c>
      <c r="E11" s="10" t="n">
        <v>8.490000000000002</v>
      </c>
      <c r="F11" s="10" t="n">
        <v>26.19165000000001</v>
      </c>
      <c r="G11" s="10" t="n">
        <v>1.65</v>
      </c>
      <c r="H11" s="10" t="n">
        <v>8.648849634488972</v>
      </c>
    </row>
    <row r="12">
      <c r="A12" s="13" t="inlineStr"/>
      <c r="B12" s="10" t="n">
        <v>70.52</v>
      </c>
      <c r="C12" s="10" t="n">
        <v>-2.11</v>
      </c>
      <c r="D12" s="10" t="n">
        <v>5.01</v>
      </c>
      <c r="E12" s="10" t="n">
        <v>10.52</v>
      </c>
      <c r="F12" s="10" t="n">
        <v>46.91919999999998</v>
      </c>
      <c r="G12" s="10" t="n">
        <v>1.1</v>
      </c>
      <c r="H12" s="10" t="n">
        <v>10.57735316608082</v>
      </c>
    </row>
    <row r="13">
      <c r="A13" s="13" t="inlineStr"/>
      <c r="B13" s="10" t="n">
        <v>80</v>
      </c>
      <c r="C13" s="10" t="n">
        <v>-2.59</v>
      </c>
      <c r="D13" s="10" t="n">
        <v>5.49</v>
      </c>
      <c r="E13" s="10" t="n">
        <v>9.480000000000004</v>
      </c>
      <c r="F13" s="10" t="n">
        <v>49.77000000000002</v>
      </c>
      <c r="G13" s="10" t="n">
        <v>0.4800000000000004</v>
      </c>
      <c r="H13" s="10" t="n">
        <v>9.49214412027125</v>
      </c>
    </row>
    <row r="14">
      <c r="A14" s="13" t="inlineStr"/>
      <c r="B14" s="10" t="n">
        <v>100</v>
      </c>
      <c r="C14" s="10" t="n">
        <v>-2.1</v>
      </c>
      <c r="D14" s="10" t="n">
        <v>5</v>
      </c>
      <c r="E14" s="10" t="n">
        <v>20</v>
      </c>
      <c r="F14" s="10" t="n">
        <v>104.9</v>
      </c>
      <c r="G14" s="10" t="n">
        <v>-0.4900000000000002</v>
      </c>
      <c r="H14" s="10" t="n">
        <v>20.00600159952008</v>
      </c>
    </row>
    <row r="15">
      <c r="A15" s="13" t="inlineStr"/>
      <c r="B15" s="10" t="n">
        <v>120</v>
      </c>
      <c r="C15" s="10" t="n">
        <v>-3.26</v>
      </c>
      <c r="D15" s="10" t="n">
        <v>6.16</v>
      </c>
      <c r="E15" s="10" t="n">
        <v>20</v>
      </c>
      <c r="F15" s="10" t="n">
        <v>111.6</v>
      </c>
      <c r="G15" s="10" t="n">
        <v>1.16</v>
      </c>
      <c r="H15" s="10" t="n">
        <v>20.03361175624605</v>
      </c>
    </row>
    <row r="16">
      <c r="A16" s="13" t="inlineStr"/>
      <c r="B16" s="10" t="n">
        <v>140</v>
      </c>
      <c r="C16" s="10" t="n">
        <v>-4.039999999999999</v>
      </c>
      <c r="D16" s="10" t="n">
        <v>6.94</v>
      </c>
      <c r="E16" s="10" t="n">
        <v>20</v>
      </c>
      <c r="F16" s="10" t="n">
        <v>131</v>
      </c>
      <c r="G16" s="10" t="n">
        <v>0.7799999999999994</v>
      </c>
      <c r="H16" s="10" t="n">
        <v>20.01520422079175</v>
      </c>
    </row>
    <row r="17">
      <c r="A17" s="13" t="inlineStr"/>
      <c r="B17" s="10" t="n">
        <v>160</v>
      </c>
      <c r="C17" s="10" t="n">
        <v>-4.129999999999999</v>
      </c>
      <c r="D17" s="10" t="n">
        <v>7.029999999999999</v>
      </c>
      <c r="E17" s="10" t="n">
        <v>20</v>
      </c>
      <c r="F17" s="10" t="n">
        <v>139.7</v>
      </c>
      <c r="G17" s="10" t="n">
        <v>0.08999999999999986</v>
      </c>
      <c r="H17" s="10" t="n">
        <v>20.00020249897485</v>
      </c>
    </row>
    <row r="18">
      <c r="A18" s="13" t="inlineStr"/>
      <c r="B18" s="10" t="n">
        <v>180</v>
      </c>
      <c r="C18" s="10" t="n">
        <v>-3.87</v>
      </c>
      <c r="D18" s="10" t="n">
        <v>6.77</v>
      </c>
      <c r="E18" s="10" t="n">
        <v>20</v>
      </c>
      <c r="F18" s="10" t="n">
        <v>138</v>
      </c>
      <c r="G18" s="10" t="n">
        <v>-0.2599999999999998</v>
      </c>
      <c r="H18" s="10" t="n">
        <v>20.00168992860353</v>
      </c>
    </row>
    <row r="19">
      <c r="A19" s="13" t="inlineStr"/>
      <c r="B19" s="10" t="n">
        <v>200</v>
      </c>
      <c r="C19" s="10" t="n">
        <v>-4.09</v>
      </c>
      <c r="D19" s="10" t="n">
        <v>6.99</v>
      </c>
      <c r="E19" s="10" t="n">
        <v>20</v>
      </c>
      <c r="F19" s="10" t="n">
        <v>137.6</v>
      </c>
      <c r="G19" s="10" t="n">
        <v>0.2200000000000006</v>
      </c>
      <c r="H19" s="10" t="n">
        <v>20.00120996339971</v>
      </c>
    </row>
    <row r="20">
      <c r="A20" s="13" t="inlineStr"/>
      <c r="B20" s="10" t="n">
        <v>220</v>
      </c>
      <c r="C20" s="10" t="n">
        <v>-4.25</v>
      </c>
      <c r="D20" s="10" t="n">
        <v>7.15</v>
      </c>
      <c r="E20" s="10" t="n">
        <v>20</v>
      </c>
      <c r="F20" s="10" t="n">
        <v>141.4</v>
      </c>
      <c r="G20" s="10" t="n">
        <v>0.1600000000000001</v>
      </c>
      <c r="H20" s="10" t="n">
        <v>20.00063998976033</v>
      </c>
    </row>
    <row r="21">
      <c r="A21" s="13" t="inlineStr"/>
      <c r="B21" s="10" t="n">
        <v>240</v>
      </c>
      <c r="C21" s="10" t="n">
        <v>-3.72</v>
      </c>
      <c r="D21" s="10" t="n">
        <v>6.62</v>
      </c>
      <c r="E21" s="10" t="n">
        <v>20</v>
      </c>
      <c r="F21" s="10" t="n">
        <v>137.7</v>
      </c>
      <c r="G21" s="10" t="n">
        <v>-0.5300000000000002</v>
      </c>
      <c r="H21" s="10" t="n">
        <v>20.00702126754505</v>
      </c>
    </row>
    <row r="22">
      <c r="A22" s="13" t="inlineStr"/>
      <c r="B22" s="10" t="n">
        <v>260</v>
      </c>
      <c r="C22" s="10" t="n">
        <v>-3.45</v>
      </c>
      <c r="D22" s="10" t="n">
        <v>6.35</v>
      </c>
      <c r="E22" s="10" t="n">
        <v>20</v>
      </c>
      <c r="F22" s="10" t="n">
        <v>129.7</v>
      </c>
      <c r="G22" s="10" t="n">
        <v>-0.2700000000000005</v>
      </c>
      <c r="H22" s="10" t="n">
        <v>20.00182241696991</v>
      </c>
    </row>
    <row r="23">
      <c r="A23" s="13" t="inlineStr"/>
      <c r="B23" s="10" t="n">
        <v>280</v>
      </c>
      <c r="C23" s="10" t="n">
        <v>-3.580000000000001</v>
      </c>
      <c r="D23" s="10" t="n">
        <v>6.48</v>
      </c>
      <c r="E23" s="10" t="n">
        <v>20</v>
      </c>
      <c r="F23" s="10" t="n">
        <v>128.3</v>
      </c>
      <c r="G23" s="10" t="n">
        <v>0.1300000000000008</v>
      </c>
      <c r="H23" s="10" t="n">
        <v>20.00042249553744</v>
      </c>
    </row>
    <row r="24">
      <c r="A24" s="13" t="inlineStr"/>
      <c r="B24" s="10" t="n">
        <v>300</v>
      </c>
      <c r="C24" s="10" t="n">
        <v>-2.89</v>
      </c>
      <c r="D24" s="10" t="n">
        <v>5.79</v>
      </c>
      <c r="E24" s="10" t="n">
        <v>20</v>
      </c>
      <c r="F24" s="10" t="n">
        <v>122.7</v>
      </c>
      <c r="G24" s="10" t="n">
        <v>-0.6900000000000004</v>
      </c>
      <c r="H24" s="10" t="n">
        <v>20.01189896036855</v>
      </c>
    </row>
    <row r="25">
      <c r="A25" s="13" t="inlineStr"/>
      <c r="B25" s="10" t="n">
        <v>314.06</v>
      </c>
      <c r="C25" s="10" t="n">
        <v>-2.81</v>
      </c>
      <c r="D25" s="10" t="n">
        <v>5.71</v>
      </c>
      <c r="E25" s="10" t="n">
        <v>14.06</v>
      </c>
      <c r="F25" s="10" t="n">
        <v>80.84500000000001</v>
      </c>
      <c r="G25" s="10" t="n">
        <v>-0.08000000000000007</v>
      </c>
      <c r="H25" s="10" t="n">
        <v>14.060227594175</v>
      </c>
    </row>
    <row r="26">
      <c r="A26" s="13" t="inlineStr"/>
      <c r="B26" s="10" t="n">
        <v>320</v>
      </c>
      <c r="C26" s="10" t="n">
        <v>-1.5</v>
      </c>
      <c r="D26" s="10" t="n">
        <v>4.4</v>
      </c>
      <c r="E26" s="10" t="n">
        <v>5.939999999999998</v>
      </c>
      <c r="F26" s="10" t="n">
        <v>30.02669999999999</v>
      </c>
      <c r="G26" s="10" t="n">
        <v>-1.31</v>
      </c>
      <c r="H26" s="10" t="n">
        <v>6.082737870400135</v>
      </c>
    </row>
    <row r="27">
      <c r="A27" s="13" t="inlineStr"/>
      <c r="B27" s="10" t="n">
        <v>332.31</v>
      </c>
      <c r="C27" s="10" t="n">
        <v>-0.1899999999999999</v>
      </c>
      <c r="D27" s="10" t="n">
        <v>3.09</v>
      </c>
      <c r="E27" s="10" t="n">
        <v>12.31</v>
      </c>
      <c r="F27" s="10" t="n">
        <v>46.10095000000001</v>
      </c>
      <c r="G27" s="10" t="n">
        <v>-1.31</v>
      </c>
      <c r="H27" s="10" t="n">
        <v>12.37950725998414</v>
      </c>
    </row>
    <row r="28">
      <c r="A28" s="13" t="inlineStr"/>
      <c r="B28" s="10" t="n">
        <v>335.36</v>
      </c>
      <c r="C28" s="10" t="n">
        <v>1.43</v>
      </c>
      <c r="D28" s="10" t="n">
        <v>1.47</v>
      </c>
      <c r="E28" s="10" t="n">
        <v>3.050000000000011</v>
      </c>
      <c r="F28" s="10" t="n">
        <v>6.954000000000025</v>
      </c>
      <c r="G28" s="10" t="n">
        <v>-1.62</v>
      </c>
      <c r="H28" s="10" t="n">
        <v>3.453534421429743</v>
      </c>
    </row>
    <row r="29">
      <c r="A29" s="14" t="inlineStr">
        <is>
          <t>Tổng cộng dòng chủ</t>
        </is>
      </c>
      <c r="B29" s="15" t="n"/>
      <c r="C29" s="15" t="n"/>
      <c r="D29" s="15" t="n"/>
      <c r="E29" s="15" t="n">
        <v>284.7</v>
      </c>
      <c r="F29" s="15" t="n">
        <v>1711.0395</v>
      </c>
      <c r="G29" s="15" t="n">
        <v>-0.1100000000000001</v>
      </c>
      <c r="H29" s="15" t="n">
        <v>285.8626102849109</v>
      </c>
    </row>
    <row r="30">
      <c r="A30" s="13" t="inlineStr">
        <is>
          <t>Bãi phải</t>
        </is>
      </c>
      <c r="B30" s="10" t="n">
        <v>335.36</v>
      </c>
      <c r="C30" s="10" t="n">
        <v>1.43</v>
      </c>
      <c r="D30" s="10" t="n">
        <v>1.47</v>
      </c>
      <c r="E30" s="10" t="n"/>
      <c r="F30" s="10" t="n"/>
      <c r="G30" s="10" t="n"/>
      <c r="H30" s="10" t="n"/>
    </row>
    <row r="31">
      <c r="A31" s="13" t="inlineStr"/>
      <c r="B31" s="10" t="n">
        <v>340</v>
      </c>
      <c r="C31" s="10" t="n">
        <v>1.64</v>
      </c>
      <c r="D31" s="10" t="n">
        <v>1.26</v>
      </c>
      <c r="E31" s="10" t="n">
        <v>4.639999999999986</v>
      </c>
      <c r="F31" s="10" t="n">
        <v>6.333599999999981</v>
      </c>
      <c r="G31" s="10" t="n">
        <v>-0.21</v>
      </c>
      <c r="H31" s="10" t="n">
        <v>4.644749724150901</v>
      </c>
    </row>
    <row r="32">
      <c r="A32" s="13" t="inlineStr"/>
      <c r="B32" s="10" t="n">
        <v>360</v>
      </c>
      <c r="C32" s="10" t="n">
        <v>1.47</v>
      </c>
      <c r="D32" s="10" t="n">
        <v>1.43</v>
      </c>
      <c r="E32" s="10" t="n">
        <v>20</v>
      </c>
      <c r="F32" s="10" t="n">
        <v>26.9</v>
      </c>
      <c r="G32" s="10" t="n">
        <v>0.1699999999999999</v>
      </c>
      <c r="H32" s="10" t="n">
        <v>20.00072248695032</v>
      </c>
    </row>
    <row r="33">
      <c r="A33" s="13" t="inlineStr"/>
      <c r="B33" s="10" t="n">
        <v>363.88</v>
      </c>
      <c r="C33" s="10" t="n">
        <v>1.46</v>
      </c>
      <c r="D33" s="10" t="n">
        <v>1.44</v>
      </c>
      <c r="E33" s="10" t="n">
        <v>3.879999999999995</v>
      </c>
      <c r="F33" s="10" t="n">
        <v>5.567799999999994</v>
      </c>
      <c r="G33" s="10" t="n">
        <v>0.01000000000000001</v>
      </c>
      <c r="H33" s="10" t="n">
        <v>3.880012886576534</v>
      </c>
    </row>
    <row r="34">
      <c r="A34" s="13" t="inlineStr"/>
      <c r="B34" s="10" t="n">
        <v>367.67</v>
      </c>
      <c r="C34" s="10" t="n">
        <v>1.49</v>
      </c>
      <c r="D34" s="10" t="n">
        <v>1.41</v>
      </c>
      <c r="E34" s="10" t="n">
        <v>3.79000000000002</v>
      </c>
      <c r="F34" s="10" t="n">
        <v>5.400750000000029</v>
      </c>
      <c r="G34" s="10" t="n">
        <v>-0.03000000000000003</v>
      </c>
      <c r="H34" s="10" t="n">
        <v>3.790118731649466</v>
      </c>
    </row>
    <row r="35">
      <c r="A35" s="13" t="inlineStr"/>
      <c r="B35" s="10" t="n">
        <v>368.68</v>
      </c>
      <c r="C35" s="10" t="n">
        <v>1.64</v>
      </c>
      <c r="D35" s="10" t="n">
        <v>1.26</v>
      </c>
      <c r="E35" s="10" t="n">
        <v>1.009999999999991</v>
      </c>
      <c r="F35" s="10" t="n">
        <v>1.348349999999988</v>
      </c>
      <c r="G35" s="10" t="n">
        <v>-0.1499999999999999</v>
      </c>
      <c r="H35" s="10" t="n">
        <v>1.021077861869496</v>
      </c>
    </row>
    <row r="36">
      <c r="A36" s="14" t="inlineStr">
        <is>
          <t>Tổng cộng bãi phải</t>
        </is>
      </c>
      <c r="B36" s="15" t="n"/>
      <c r="C36" s="15" t="n"/>
      <c r="D36" s="15" t="n"/>
      <c r="E36" s="15" t="n">
        <v>33.31999999999999</v>
      </c>
      <c r="F36" s="15" t="n">
        <v>45.55049999999999</v>
      </c>
      <c r="G36" s="15" t="n">
        <v>-0.21</v>
      </c>
      <c r="H36" s="15" t="n">
        <v>33.33668169119671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H4 = 2.60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38.72694915254237</v>
      </c>
      <c r="C5" s="10" t="n">
        <v>2.6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40</v>
      </c>
      <c r="C6" s="10" t="n">
        <v>1.73</v>
      </c>
      <c r="D6" s="10" t="n">
        <v>0.8700000000000001</v>
      </c>
      <c r="E6" s="10" t="n">
        <v>1.273050847457625</v>
      </c>
      <c r="F6" s="10" t="n">
        <v>0.5537771186440671</v>
      </c>
      <c r="G6" s="10" t="n">
        <v>0.8700000000000001</v>
      </c>
      <c r="H6" s="10" t="n">
        <v>1.541933351417168</v>
      </c>
    </row>
    <row r="7">
      <c r="A7" s="13" t="inlineStr"/>
      <c r="B7" s="10" t="n">
        <v>50.66</v>
      </c>
      <c r="C7" s="10" t="n">
        <v>1.32</v>
      </c>
      <c r="D7" s="10" t="n">
        <v>1.28</v>
      </c>
      <c r="E7" s="10" t="n">
        <v>10.66</v>
      </c>
      <c r="F7" s="10" t="n">
        <v>11.4595</v>
      </c>
      <c r="G7" s="10" t="n">
        <v>0.4099999999999999</v>
      </c>
      <c r="H7" s="10" t="n">
        <v>10.6678817016313</v>
      </c>
    </row>
    <row r="8">
      <c r="A8" s="14" t="inlineStr">
        <is>
          <t>Tổng cộng bãi trái</t>
        </is>
      </c>
      <c r="B8" s="15" t="n"/>
      <c r="C8" s="15" t="n"/>
      <c r="D8" s="15" t="n"/>
      <c r="E8" s="15" t="n">
        <v>11.93305084745762</v>
      </c>
      <c r="F8" s="15" t="n">
        <v>12.01327711864407</v>
      </c>
      <c r="G8" s="15" t="n">
        <v>1.28</v>
      </c>
      <c r="H8" s="15" t="n">
        <v>12.20981505304847</v>
      </c>
    </row>
    <row r="9">
      <c r="A9" s="13" t="inlineStr">
        <is>
          <t>Dòng chủ</t>
        </is>
      </c>
      <c r="B9" s="10" t="n">
        <v>50.66</v>
      </c>
      <c r="C9" s="10" t="n">
        <v>1.32</v>
      </c>
      <c r="D9" s="10" t="n">
        <v>1.28</v>
      </c>
      <c r="E9" s="10" t="n"/>
      <c r="F9" s="10" t="n"/>
      <c r="G9" s="10" t="n"/>
      <c r="H9" s="10" t="n"/>
    </row>
    <row r="10">
      <c r="A10" s="13" t="inlineStr"/>
      <c r="B10" s="10" t="n">
        <v>51.51</v>
      </c>
      <c r="C10" s="10" t="n">
        <v>0.6400000000000001</v>
      </c>
      <c r="D10" s="10" t="n">
        <v>1.96</v>
      </c>
      <c r="E10" s="10" t="n">
        <v>0.8500000000000014</v>
      </c>
      <c r="F10" s="10" t="n">
        <v>1.377000000000002</v>
      </c>
      <c r="G10" s="10" t="n">
        <v>0.6799999999999999</v>
      </c>
      <c r="H10" s="10" t="n">
        <v>1.088531120363585</v>
      </c>
    </row>
    <row r="11">
      <c r="A11" s="13" t="inlineStr"/>
      <c r="B11" s="10" t="n">
        <v>60</v>
      </c>
      <c r="C11" s="10" t="n">
        <v>-1.01</v>
      </c>
      <c r="D11" s="10" t="n">
        <v>3.61</v>
      </c>
      <c r="E11" s="10" t="n">
        <v>8.490000000000002</v>
      </c>
      <c r="F11" s="10" t="n">
        <v>23.64465000000001</v>
      </c>
      <c r="G11" s="10" t="n">
        <v>1.65</v>
      </c>
      <c r="H11" s="10" t="n">
        <v>8.648849634488972</v>
      </c>
    </row>
    <row r="12">
      <c r="A12" s="13" t="inlineStr"/>
      <c r="B12" s="10" t="n">
        <v>70.52</v>
      </c>
      <c r="C12" s="10" t="n">
        <v>-2.11</v>
      </c>
      <c r="D12" s="10" t="n">
        <v>4.71</v>
      </c>
      <c r="E12" s="10" t="n">
        <v>10.52</v>
      </c>
      <c r="F12" s="10" t="n">
        <v>43.76319999999998</v>
      </c>
      <c r="G12" s="10" t="n">
        <v>1.1</v>
      </c>
      <c r="H12" s="10" t="n">
        <v>10.57735316608082</v>
      </c>
    </row>
    <row r="13">
      <c r="A13" s="13" t="inlineStr"/>
      <c r="B13" s="10" t="n">
        <v>80</v>
      </c>
      <c r="C13" s="10" t="n">
        <v>-2.589999999999999</v>
      </c>
      <c r="D13" s="10" t="n">
        <v>5.19</v>
      </c>
      <c r="E13" s="10" t="n">
        <v>9.480000000000004</v>
      </c>
      <c r="F13" s="10" t="n">
        <v>46.92600000000002</v>
      </c>
      <c r="G13" s="10" t="n">
        <v>0.4799999999999995</v>
      </c>
      <c r="H13" s="10" t="n">
        <v>9.49214412027125</v>
      </c>
    </row>
    <row r="14">
      <c r="A14" s="13" t="inlineStr"/>
      <c r="B14" s="10" t="n">
        <v>100</v>
      </c>
      <c r="C14" s="10" t="n">
        <v>-2.1</v>
      </c>
      <c r="D14" s="10" t="n">
        <v>4.7</v>
      </c>
      <c r="E14" s="10" t="n">
        <v>20</v>
      </c>
      <c r="F14" s="10" t="n">
        <v>98.90000000000001</v>
      </c>
      <c r="G14" s="10" t="n">
        <v>-0.4899999999999993</v>
      </c>
      <c r="H14" s="10" t="n">
        <v>20.00600159952008</v>
      </c>
    </row>
    <row r="15">
      <c r="A15" s="13" t="inlineStr"/>
      <c r="B15" s="10" t="n">
        <v>120</v>
      </c>
      <c r="C15" s="10" t="n">
        <v>-3.259999999999999</v>
      </c>
      <c r="D15" s="10" t="n">
        <v>5.859999999999999</v>
      </c>
      <c r="E15" s="10" t="n">
        <v>20</v>
      </c>
      <c r="F15" s="10" t="n">
        <v>105.6</v>
      </c>
      <c r="G15" s="10" t="n">
        <v>1.159999999999999</v>
      </c>
      <c r="H15" s="10" t="n">
        <v>20.03361175624605</v>
      </c>
    </row>
    <row r="16">
      <c r="A16" s="13" t="inlineStr"/>
      <c r="B16" s="10" t="n">
        <v>140</v>
      </c>
      <c r="C16" s="10" t="n">
        <v>-4.040000000000001</v>
      </c>
      <c r="D16" s="10" t="n">
        <v>6.640000000000001</v>
      </c>
      <c r="E16" s="10" t="n">
        <v>20</v>
      </c>
      <c r="F16" s="10" t="n">
        <v>125</v>
      </c>
      <c r="G16" s="10" t="n">
        <v>0.7800000000000011</v>
      </c>
      <c r="H16" s="10" t="n">
        <v>20.01520422079175</v>
      </c>
    </row>
    <row r="17">
      <c r="A17" s="13" t="inlineStr"/>
      <c r="B17" s="10" t="n">
        <v>160</v>
      </c>
      <c r="C17" s="10" t="n">
        <v>-4.130000000000001</v>
      </c>
      <c r="D17" s="10" t="n">
        <v>6.73</v>
      </c>
      <c r="E17" s="10" t="n">
        <v>20</v>
      </c>
      <c r="F17" s="10" t="n">
        <v>133.7</v>
      </c>
      <c r="G17" s="10" t="n">
        <v>0.08999999999999986</v>
      </c>
      <c r="H17" s="10" t="n">
        <v>20.00020249897485</v>
      </c>
    </row>
    <row r="18">
      <c r="A18" s="13" t="inlineStr"/>
      <c r="B18" s="10" t="n">
        <v>180</v>
      </c>
      <c r="C18" s="10" t="n">
        <v>-3.870000000000001</v>
      </c>
      <c r="D18" s="10" t="n">
        <v>6.470000000000001</v>
      </c>
      <c r="E18" s="10" t="n">
        <v>20</v>
      </c>
      <c r="F18" s="10" t="n">
        <v>132</v>
      </c>
      <c r="G18" s="10" t="n">
        <v>-0.2599999999999998</v>
      </c>
      <c r="H18" s="10" t="n">
        <v>20.00168992860353</v>
      </c>
    </row>
    <row r="19">
      <c r="A19" s="13" t="inlineStr"/>
      <c r="B19" s="10" t="n">
        <v>200</v>
      </c>
      <c r="C19" s="10" t="n">
        <v>-4.09</v>
      </c>
      <c r="D19" s="10" t="n">
        <v>6.69</v>
      </c>
      <c r="E19" s="10" t="n">
        <v>20</v>
      </c>
      <c r="F19" s="10" t="n">
        <v>131.6</v>
      </c>
      <c r="G19" s="10" t="n">
        <v>0.2199999999999989</v>
      </c>
      <c r="H19" s="10" t="n">
        <v>20.00120996339971</v>
      </c>
    </row>
    <row r="20">
      <c r="A20" s="13" t="inlineStr"/>
      <c r="B20" s="10" t="n">
        <v>220</v>
      </c>
      <c r="C20" s="10" t="n">
        <v>-4.25</v>
      </c>
      <c r="D20" s="10" t="n">
        <v>6.85</v>
      </c>
      <c r="E20" s="10" t="n">
        <v>20</v>
      </c>
      <c r="F20" s="10" t="n">
        <v>135.4</v>
      </c>
      <c r="G20" s="10" t="n">
        <v>0.1600000000000001</v>
      </c>
      <c r="H20" s="10" t="n">
        <v>20.00063998976033</v>
      </c>
    </row>
    <row r="21">
      <c r="A21" s="13" t="inlineStr"/>
      <c r="B21" s="10" t="n">
        <v>240</v>
      </c>
      <c r="C21" s="10" t="n">
        <v>-3.72</v>
      </c>
      <c r="D21" s="10" t="n">
        <v>6.32</v>
      </c>
      <c r="E21" s="10" t="n">
        <v>20</v>
      </c>
      <c r="F21" s="10" t="n">
        <v>131.7</v>
      </c>
      <c r="G21" s="10" t="n">
        <v>-0.5299999999999994</v>
      </c>
      <c r="H21" s="10" t="n">
        <v>20.00702126754505</v>
      </c>
    </row>
    <row r="22">
      <c r="A22" s="13" t="inlineStr"/>
      <c r="B22" s="10" t="n">
        <v>260</v>
      </c>
      <c r="C22" s="10" t="n">
        <v>-3.450000000000001</v>
      </c>
      <c r="D22" s="10" t="n">
        <v>6.050000000000001</v>
      </c>
      <c r="E22" s="10" t="n">
        <v>20</v>
      </c>
      <c r="F22" s="10" t="n">
        <v>123.7</v>
      </c>
      <c r="G22" s="10" t="n">
        <v>-0.2699999999999996</v>
      </c>
      <c r="H22" s="10" t="n">
        <v>20.00182241696991</v>
      </c>
    </row>
    <row r="23">
      <c r="A23" s="13" t="inlineStr"/>
      <c r="B23" s="10" t="n">
        <v>280</v>
      </c>
      <c r="C23" s="10" t="n">
        <v>-3.58</v>
      </c>
      <c r="D23" s="10" t="n">
        <v>6.18</v>
      </c>
      <c r="E23" s="10" t="n">
        <v>20</v>
      </c>
      <c r="F23" s="10" t="n">
        <v>122.3</v>
      </c>
      <c r="G23" s="10" t="n">
        <v>0.129999999999999</v>
      </c>
      <c r="H23" s="10" t="n">
        <v>20.00042249553744</v>
      </c>
    </row>
    <row r="24">
      <c r="A24" s="13" t="inlineStr"/>
      <c r="B24" s="10" t="n">
        <v>300</v>
      </c>
      <c r="C24" s="10" t="n">
        <v>-2.89</v>
      </c>
      <c r="D24" s="10" t="n">
        <v>5.49</v>
      </c>
      <c r="E24" s="10" t="n">
        <v>20</v>
      </c>
      <c r="F24" s="10" t="n">
        <v>116.7</v>
      </c>
      <c r="G24" s="10" t="n">
        <v>-0.6899999999999995</v>
      </c>
      <c r="H24" s="10" t="n">
        <v>20.01189896036855</v>
      </c>
    </row>
    <row r="25">
      <c r="A25" s="13" t="inlineStr"/>
      <c r="B25" s="10" t="n">
        <v>314.06</v>
      </c>
      <c r="C25" s="10" t="n">
        <v>-2.81</v>
      </c>
      <c r="D25" s="10" t="n">
        <v>5.41</v>
      </c>
      <c r="E25" s="10" t="n">
        <v>14.06</v>
      </c>
      <c r="F25" s="10" t="n">
        <v>76.62700000000001</v>
      </c>
      <c r="G25" s="10" t="n">
        <v>-0.08000000000000007</v>
      </c>
      <c r="H25" s="10" t="n">
        <v>14.060227594175</v>
      </c>
    </row>
    <row r="26">
      <c r="A26" s="13" t="inlineStr"/>
      <c r="B26" s="10" t="n">
        <v>320</v>
      </c>
      <c r="C26" s="10" t="n">
        <v>-1.5</v>
      </c>
      <c r="D26" s="10" t="n">
        <v>4.1</v>
      </c>
      <c r="E26" s="10" t="n">
        <v>5.939999999999998</v>
      </c>
      <c r="F26" s="10" t="n">
        <v>28.24469999999999</v>
      </c>
      <c r="G26" s="10" t="n">
        <v>-1.31</v>
      </c>
      <c r="H26" s="10" t="n">
        <v>6.082737870400136</v>
      </c>
    </row>
    <row r="27">
      <c r="A27" s="13" t="inlineStr"/>
      <c r="B27" s="10" t="n">
        <v>332.31</v>
      </c>
      <c r="C27" s="10" t="n">
        <v>-0.1899999999999999</v>
      </c>
      <c r="D27" s="10" t="n">
        <v>2.79</v>
      </c>
      <c r="E27" s="10" t="n">
        <v>12.31</v>
      </c>
      <c r="F27" s="10" t="n">
        <v>42.40795000000001</v>
      </c>
      <c r="G27" s="10" t="n">
        <v>-1.31</v>
      </c>
      <c r="H27" s="10" t="n">
        <v>12.37950725998414</v>
      </c>
    </row>
    <row r="28">
      <c r="A28" s="13" t="inlineStr"/>
      <c r="B28" s="10" t="n">
        <v>335.36</v>
      </c>
      <c r="C28" s="10" t="n">
        <v>1.43</v>
      </c>
      <c r="D28" s="10" t="n">
        <v>1.17</v>
      </c>
      <c r="E28" s="10" t="n">
        <v>3.050000000000011</v>
      </c>
      <c r="F28" s="10" t="n">
        <v>6.039000000000023</v>
      </c>
      <c r="G28" s="10" t="n">
        <v>-1.62</v>
      </c>
      <c r="H28" s="10" t="n">
        <v>3.453534421429743</v>
      </c>
    </row>
    <row r="29">
      <c r="A29" s="14" t="inlineStr">
        <is>
          <t>Tổng cộng dòng chủ</t>
        </is>
      </c>
      <c r="B29" s="15" t="n"/>
      <c r="C29" s="15" t="n"/>
      <c r="D29" s="15" t="n"/>
      <c r="E29" s="15" t="n">
        <v>284.7</v>
      </c>
      <c r="F29" s="15" t="n">
        <v>1625.6295</v>
      </c>
      <c r="G29" s="15" t="n">
        <v>-0.1100000000000001</v>
      </c>
      <c r="H29" s="15" t="n">
        <v>285.8626102849109</v>
      </c>
    </row>
    <row r="30">
      <c r="A30" s="13" t="inlineStr">
        <is>
          <t>Bãi phải</t>
        </is>
      </c>
      <c r="B30" s="10" t="n">
        <v>335.36</v>
      </c>
      <c r="C30" s="10" t="n">
        <v>1.43</v>
      </c>
      <c r="D30" s="10" t="n">
        <v>1.17</v>
      </c>
      <c r="E30" s="10" t="n"/>
      <c r="F30" s="10" t="n"/>
      <c r="G30" s="10" t="n"/>
      <c r="H30" s="10" t="n"/>
    </row>
    <row r="31">
      <c r="A31" s="13" t="inlineStr"/>
      <c r="B31" s="10" t="n">
        <v>340</v>
      </c>
      <c r="C31" s="10" t="n">
        <v>1.64</v>
      </c>
      <c r="D31" s="10" t="n">
        <v>0.9600000000000002</v>
      </c>
      <c r="E31" s="10" t="n">
        <v>4.639999999999986</v>
      </c>
      <c r="F31" s="10" t="n">
        <v>4.941599999999986</v>
      </c>
      <c r="G31" s="10" t="n">
        <v>-0.21</v>
      </c>
      <c r="H31" s="10" t="n">
        <v>4.644749724150901</v>
      </c>
    </row>
    <row r="32">
      <c r="A32" s="13" t="inlineStr"/>
      <c r="B32" s="10" t="n">
        <v>360</v>
      </c>
      <c r="C32" s="10" t="n">
        <v>1.47</v>
      </c>
      <c r="D32" s="10" t="n">
        <v>1.13</v>
      </c>
      <c r="E32" s="10" t="n">
        <v>20</v>
      </c>
      <c r="F32" s="10" t="n">
        <v>20.9</v>
      </c>
      <c r="G32" s="10" t="n">
        <v>0.1699999999999999</v>
      </c>
      <c r="H32" s="10" t="n">
        <v>20.00072248695032</v>
      </c>
    </row>
    <row r="33">
      <c r="A33" s="13" t="inlineStr"/>
      <c r="B33" s="10" t="n">
        <v>363.88</v>
      </c>
      <c r="C33" s="10" t="n">
        <v>1.46</v>
      </c>
      <c r="D33" s="10" t="n">
        <v>1.14</v>
      </c>
      <c r="E33" s="10" t="n">
        <v>3.879999999999995</v>
      </c>
      <c r="F33" s="10" t="n">
        <v>4.403799999999996</v>
      </c>
      <c r="G33" s="10" t="n">
        <v>0.01000000000000001</v>
      </c>
      <c r="H33" s="10" t="n">
        <v>3.880012886576534</v>
      </c>
    </row>
    <row r="34">
      <c r="A34" s="13" t="inlineStr"/>
      <c r="B34" s="10" t="n">
        <v>367.67</v>
      </c>
      <c r="C34" s="10" t="n">
        <v>1.49</v>
      </c>
      <c r="D34" s="10" t="n">
        <v>1.11</v>
      </c>
      <c r="E34" s="10" t="n">
        <v>3.79000000000002</v>
      </c>
      <c r="F34" s="10" t="n">
        <v>4.263750000000023</v>
      </c>
      <c r="G34" s="10" t="n">
        <v>-0.03000000000000003</v>
      </c>
      <c r="H34" s="10" t="n">
        <v>3.790118731649466</v>
      </c>
    </row>
    <row r="35">
      <c r="A35" s="13" t="inlineStr"/>
      <c r="B35" s="10" t="n">
        <v>368.68</v>
      </c>
      <c r="C35" s="10" t="n">
        <v>1.64</v>
      </c>
      <c r="D35" s="10" t="n">
        <v>0.9600000000000002</v>
      </c>
      <c r="E35" s="10" t="n">
        <v>1.009999999999991</v>
      </c>
      <c r="F35" s="10" t="n">
        <v>1.045349999999991</v>
      </c>
      <c r="G35" s="10" t="n">
        <v>-0.1499999999999999</v>
      </c>
      <c r="H35" s="10" t="n">
        <v>1.021077861869496</v>
      </c>
    </row>
    <row r="36">
      <c r="A36" s="14" t="inlineStr">
        <is>
          <t>Tổng cộng bãi phải</t>
        </is>
      </c>
      <c r="B36" s="15" t="n"/>
      <c r="C36" s="15" t="n"/>
      <c r="D36" s="15" t="n"/>
      <c r="E36" s="15" t="n">
        <v>33.31999999999999</v>
      </c>
      <c r="F36" s="15" t="n">
        <v>35.5545</v>
      </c>
      <c r="G36" s="15" t="n">
        <v>-0.21</v>
      </c>
      <c r="H36" s="15" t="n">
        <v>33.33668169119671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H5 = 2.30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39.16593220338983</v>
      </c>
      <c r="C5" s="10" t="n">
        <v>2.3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40</v>
      </c>
      <c r="C6" s="10" t="n">
        <v>1.73</v>
      </c>
      <c r="D6" s="10" t="n">
        <v>0.5699999999999998</v>
      </c>
      <c r="E6" s="10" t="n">
        <v>0.8340677966101708</v>
      </c>
      <c r="F6" s="10" t="n">
        <v>0.2377093220338986</v>
      </c>
      <c r="G6" s="10" t="n">
        <v>0.5699999999999998</v>
      </c>
      <c r="H6" s="10" t="n">
        <v>1.010232195756077</v>
      </c>
    </row>
    <row r="7">
      <c r="A7" s="13" t="inlineStr"/>
      <c r="B7" s="10" t="n">
        <v>50.66</v>
      </c>
      <c r="C7" s="10" t="n">
        <v>1.32</v>
      </c>
      <c r="D7" s="10" t="n">
        <v>0.9799999999999998</v>
      </c>
      <c r="E7" s="10" t="n">
        <v>10.66</v>
      </c>
      <c r="F7" s="10" t="n">
        <v>8.261499999999995</v>
      </c>
      <c r="G7" s="10" t="n">
        <v>0.4099999999999999</v>
      </c>
      <c r="H7" s="10" t="n">
        <v>10.6678817016313</v>
      </c>
    </row>
    <row r="8">
      <c r="A8" s="14" t="inlineStr">
        <is>
          <t>Tổng cộng bãi trái</t>
        </is>
      </c>
      <c r="B8" s="15" t="n"/>
      <c r="C8" s="15" t="n"/>
      <c r="D8" s="15" t="n"/>
      <c r="E8" s="15" t="n">
        <v>11.49406779661017</v>
      </c>
      <c r="F8" s="15" t="n">
        <v>8.499209322033893</v>
      </c>
      <c r="G8" s="15" t="n">
        <v>0.9799999999999998</v>
      </c>
      <c r="H8" s="15" t="n">
        <v>11.67811389738738</v>
      </c>
    </row>
    <row r="9">
      <c r="A9" s="13" t="inlineStr">
        <is>
          <t>Dòng chủ</t>
        </is>
      </c>
      <c r="B9" s="10" t="n">
        <v>50.66</v>
      </c>
      <c r="C9" s="10" t="n">
        <v>1.32</v>
      </c>
      <c r="D9" s="10" t="n">
        <v>0.9799999999999998</v>
      </c>
      <c r="E9" s="10" t="n"/>
      <c r="F9" s="10" t="n"/>
      <c r="G9" s="10" t="n"/>
      <c r="H9" s="10" t="n"/>
    </row>
    <row r="10">
      <c r="A10" s="13" t="inlineStr"/>
      <c r="B10" s="10" t="n">
        <v>51.51</v>
      </c>
      <c r="C10" s="10" t="n">
        <v>0.6400000000000001</v>
      </c>
      <c r="D10" s="10" t="n">
        <v>1.66</v>
      </c>
      <c r="E10" s="10" t="n">
        <v>0.8500000000000014</v>
      </c>
      <c r="F10" s="10" t="n">
        <v>1.122000000000002</v>
      </c>
      <c r="G10" s="10" t="n">
        <v>0.6799999999999999</v>
      </c>
      <c r="H10" s="10" t="n">
        <v>1.088531120363585</v>
      </c>
    </row>
    <row r="11">
      <c r="A11" s="13" t="inlineStr"/>
      <c r="B11" s="10" t="n">
        <v>60</v>
      </c>
      <c r="C11" s="10" t="n">
        <v>-1.01</v>
      </c>
      <c r="D11" s="10" t="n">
        <v>3.31</v>
      </c>
      <c r="E11" s="10" t="n">
        <v>8.490000000000002</v>
      </c>
      <c r="F11" s="10" t="n">
        <v>21.09765</v>
      </c>
      <c r="G11" s="10" t="n">
        <v>1.65</v>
      </c>
      <c r="H11" s="10" t="n">
        <v>8.648849634488972</v>
      </c>
    </row>
    <row r="12">
      <c r="A12" s="13" t="inlineStr"/>
      <c r="B12" s="10" t="n">
        <v>70.52</v>
      </c>
      <c r="C12" s="10" t="n">
        <v>-2.11</v>
      </c>
      <c r="D12" s="10" t="n">
        <v>4.41</v>
      </c>
      <c r="E12" s="10" t="n">
        <v>10.52</v>
      </c>
      <c r="F12" s="10" t="n">
        <v>40.60719999999998</v>
      </c>
      <c r="G12" s="10" t="n">
        <v>1.100000000000001</v>
      </c>
      <c r="H12" s="10" t="n">
        <v>10.57735316608082</v>
      </c>
    </row>
    <row r="13">
      <c r="A13" s="13" t="inlineStr"/>
      <c r="B13" s="10" t="n">
        <v>80</v>
      </c>
      <c r="C13" s="10" t="n">
        <v>-2.59</v>
      </c>
      <c r="D13" s="10" t="n">
        <v>4.89</v>
      </c>
      <c r="E13" s="10" t="n">
        <v>9.480000000000004</v>
      </c>
      <c r="F13" s="10" t="n">
        <v>44.08200000000002</v>
      </c>
      <c r="G13" s="10" t="n">
        <v>0.4799999999999995</v>
      </c>
      <c r="H13" s="10" t="n">
        <v>9.49214412027125</v>
      </c>
    </row>
    <row r="14">
      <c r="A14" s="13" t="inlineStr"/>
      <c r="B14" s="10" t="n">
        <v>100</v>
      </c>
      <c r="C14" s="10" t="n">
        <v>-2.100000000000001</v>
      </c>
      <c r="D14" s="10" t="n">
        <v>4.4</v>
      </c>
      <c r="E14" s="10" t="n">
        <v>20</v>
      </c>
      <c r="F14" s="10" t="n">
        <v>92.89999999999999</v>
      </c>
      <c r="G14" s="10" t="n">
        <v>-0.4899999999999993</v>
      </c>
      <c r="H14" s="10" t="n">
        <v>20.00600159952008</v>
      </c>
    </row>
    <row r="15">
      <c r="A15" s="13" t="inlineStr"/>
      <c r="B15" s="10" t="n">
        <v>120</v>
      </c>
      <c r="C15" s="10" t="n">
        <v>-3.26</v>
      </c>
      <c r="D15" s="10" t="n">
        <v>5.56</v>
      </c>
      <c r="E15" s="10" t="n">
        <v>20</v>
      </c>
      <c r="F15" s="10" t="n">
        <v>99.60000000000001</v>
      </c>
      <c r="G15" s="10" t="n">
        <v>1.159999999999999</v>
      </c>
      <c r="H15" s="10" t="n">
        <v>20.03361175624605</v>
      </c>
    </row>
    <row r="16">
      <c r="A16" s="13" t="inlineStr"/>
      <c r="B16" s="10" t="n">
        <v>140</v>
      </c>
      <c r="C16" s="10" t="n">
        <v>-4.04</v>
      </c>
      <c r="D16" s="10" t="n">
        <v>6.34</v>
      </c>
      <c r="E16" s="10" t="n">
        <v>20</v>
      </c>
      <c r="F16" s="10" t="n">
        <v>119</v>
      </c>
      <c r="G16" s="10" t="n">
        <v>0.7800000000000002</v>
      </c>
      <c r="H16" s="10" t="n">
        <v>20.01520422079175</v>
      </c>
    </row>
    <row r="17">
      <c r="A17" s="13" t="inlineStr"/>
      <c r="B17" s="10" t="n">
        <v>160</v>
      </c>
      <c r="C17" s="10" t="n">
        <v>-4.13</v>
      </c>
      <c r="D17" s="10" t="n">
        <v>6.43</v>
      </c>
      <c r="E17" s="10" t="n">
        <v>20</v>
      </c>
      <c r="F17" s="10" t="n">
        <v>127.7</v>
      </c>
      <c r="G17" s="10" t="n">
        <v>0.08999999999999986</v>
      </c>
      <c r="H17" s="10" t="n">
        <v>20.00020249897485</v>
      </c>
    </row>
    <row r="18">
      <c r="A18" s="13" t="inlineStr"/>
      <c r="B18" s="10" t="n">
        <v>180</v>
      </c>
      <c r="C18" s="10" t="n">
        <v>-3.87</v>
      </c>
      <c r="D18" s="10" t="n">
        <v>6.17</v>
      </c>
      <c r="E18" s="10" t="n">
        <v>20</v>
      </c>
      <c r="F18" s="10" t="n">
        <v>126</v>
      </c>
      <c r="G18" s="10" t="n">
        <v>-0.2599999999999998</v>
      </c>
      <c r="H18" s="10" t="n">
        <v>20.00168992860353</v>
      </c>
    </row>
    <row r="19">
      <c r="A19" s="13" t="inlineStr"/>
      <c r="B19" s="10" t="n">
        <v>200</v>
      </c>
      <c r="C19" s="10" t="n">
        <v>-4.09</v>
      </c>
      <c r="D19" s="10" t="n">
        <v>6.39</v>
      </c>
      <c r="E19" s="10" t="n">
        <v>20</v>
      </c>
      <c r="F19" s="10" t="n">
        <v>125.6</v>
      </c>
      <c r="G19" s="10" t="n">
        <v>0.2199999999999998</v>
      </c>
      <c r="H19" s="10" t="n">
        <v>20.00120996339971</v>
      </c>
    </row>
    <row r="20">
      <c r="A20" s="13" t="inlineStr"/>
      <c r="B20" s="10" t="n">
        <v>220</v>
      </c>
      <c r="C20" s="10" t="n">
        <v>-4.25</v>
      </c>
      <c r="D20" s="10" t="n">
        <v>6.55</v>
      </c>
      <c r="E20" s="10" t="n">
        <v>20</v>
      </c>
      <c r="F20" s="10" t="n">
        <v>129.4</v>
      </c>
      <c r="G20" s="10" t="n">
        <v>0.1600000000000001</v>
      </c>
      <c r="H20" s="10" t="n">
        <v>20.00063998976033</v>
      </c>
    </row>
    <row r="21">
      <c r="A21" s="13" t="inlineStr"/>
      <c r="B21" s="10" t="n">
        <v>240</v>
      </c>
      <c r="C21" s="10" t="n">
        <v>-3.72</v>
      </c>
      <c r="D21" s="10" t="n">
        <v>6.02</v>
      </c>
      <c r="E21" s="10" t="n">
        <v>20</v>
      </c>
      <c r="F21" s="10" t="n">
        <v>125.7</v>
      </c>
      <c r="G21" s="10" t="n">
        <v>-0.5300000000000002</v>
      </c>
      <c r="H21" s="10" t="n">
        <v>20.00702126754505</v>
      </c>
    </row>
    <row r="22">
      <c r="A22" s="13" t="inlineStr"/>
      <c r="B22" s="10" t="n">
        <v>260</v>
      </c>
      <c r="C22" s="10" t="n">
        <v>-3.45</v>
      </c>
      <c r="D22" s="10" t="n">
        <v>5.75</v>
      </c>
      <c r="E22" s="10" t="n">
        <v>20</v>
      </c>
      <c r="F22" s="10" t="n">
        <v>117.7</v>
      </c>
      <c r="G22" s="10" t="n">
        <v>-0.2699999999999996</v>
      </c>
      <c r="H22" s="10" t="n">
        <v>20.00182241696991</v>
      </c>
    </row>
    <row r="23">
      <c r="A23" s="13" t="inlineStr"/>
      <c r="B23" s="10" t="n">
        <v>280</v>
      </c>
      <c r="C23" s="10" t="n">
        <v>-3.58</v>
      </c>
      <c r="D23" s="10" t="n">
        <v>5.88</v>
      </c>
      <c r="E23" s="10" t="n">
        <v>20</v>
      </c>
      <c r="F23" s="10" t="n">
        <v>116.3</v>
      </c>
      <c r="G23" s="10" t="n">
        <v>0.1299999999999999</v>
      </c>
      <c r="H23" s="10" t="n">
        <v>20.00042249553744</v>
      </c>
    </row>
    <row r="24">
      <c r="A24" s="13" t="inlineStr"/>
      <c r="B24" s="10" t="n">
        <v>300</v>
      </c>
      <c r="C24" s="10" t="n">
        <v>-2.89</v>
      </c>
      <c r="D24" s="10" t="n">
        <v>5.19</v>
      </c>
      <c r="E24" s="10" t="n">
        <v>20</v>
      </c>
      <c r="F24" s="10" t="n">
        <v>110.7</v>
      </c>
      <c r="G24" s="10" t="n">
        <v>-0.6900000000000004</v>
      </c>
      <c r="H24" s="10" t="n">
        <v>20.01189896036855</v>
      </c>
    </row>
    <row r="25">
      <c r="A25" s="13" t="inlineStr"/>
      <c r="B25" s="10" t="n">
        <v>314.06</v>
      </c>
      <c r="C25" s="10" t="n">
        <v>-2.81</v>
      </c>
      <c r="D25" s="10" t="n">
        <v>5.109999999999999</v>
      </c>
      <c r="E25" s="10" t="n">
        <v>14.06</v>
      </c>
      <c r="F25" s="10" t="n">
        <v>72.40900000000001</v>
      </c>
      <c r="G25" s="10" t="n">
        <v>-0.08000000000000007</v>
      </c>
      <c r="H25" s="10" t="n">
        <v>14.060227594175</v>
      </c>
    </row>
    <row r="26">
      <c r="A26" s="13" t="inlineStr"/>
      <c r="B26" s="10" t="n">
        <v>320</v>
      </c>
      <c r="C26" s="10" t="n">
        <v>-1.5</v>
      </c>
      <c r="D26" s="10" t="n">
        <v>3.8</v>
      </c>
      <c r="E26" s="10" t="n">
        <v>5.939999999999998</v>
      </c>
      <c r="F26" s="10" t="n">
        <v>26.46269999999999</v>
      </c>
      <c r="G26" s="10" t="n">
        <v>-1.31</v>
      </c>
      <c r="H26" s="10" t="n">
        <v>6.082737870400135</v>
      </c>
    </row>
    <row r="27">
      <c r="A27" s="13" t="inlineStr"/>
      <c r="B27" s="10" t="n">
        <v>332.31</v>
      </c>
      <c r="C27" s="10" t="n">
        <v>-0.1899999999999999</v>
      </c>
      <c r="D27" s="10" t="n">
        <v>2.49</v>
      </c>
      <c r="E27" s="10" t="n">
        <v>12.31</v>
      </c>
      <c r="F27" s="10" t="n">
        <v>38.71495</v>
      </c>
      <c r="G27" s="10" t="n">
        <v>-1.31</v>
      </c>
      <c r="H27" s="10" t="n">
        <v>12.37950725998414</v>
      </c>
    </row>
    <row r="28">
      <c r="A28" s="13" t="inlineStr"/>
      <c r="B28" s="10" t="n">
        <v>335.36</v>
      </c>
      <c r="C28" s="10" t="n">
        <v>1.43</v>
      </c>
      <c r="D28" s="10" t="n">
        <v>0.8699999999999999</v>
      </c>
      <c r="E28" s="10" t="n">
        <v>3.050000000000011</v>
      </c>
      <c r="F28" s="10" t="n">
        <v>5.124000000000018</v>
      </c>
      <c r="G28" s="10" t="n">
        <v>-1.62</v>
      </c>
      <c r="H28" s="10" t="n">
        <v>3.453534421429743</v>
      </c>
    </row>
    <row r="29">
      <c r="A29" s="14" t="inlineStr">
        <is>
          <t>Tổng cộng dòng chủ</t>
        </is>
      </c>
      <c r="B29" s="15" t="n"/>
      <c r="C29" s="15" t="n"/>
      <c r="D29" s="15" t="n"/>
      <c r="E29" s="15" t="n">
        <v>284.7</v>
      </c>
      <c r="F29" s="15" t="n">
        <v>1540.2195</v>
      </c>
      <c r="G29" s="15" t="n">
        <v>-0.1099999999999997</v>
      </c>
      <c r="H29" s="15" t="n">
        <v>285.8626102849109</v>
      </c>
    </row>
    <row r="30">
      <c r="A30" s="13" t="inlineStr">
        <is>
          <t>Bãi phải</t>
        </is>
      </c>
      <c r="B30" s="10" t="n">
        <v>335.36</v>
      </c>
      <c r="C30" s="10" t="n">
        <v>1.43</v>
      </c>
      <c r="D30" s="10" t="n">
        <v>0.8699999999999999</v>
      </c>
      <c r="E30" s="10" t="n"/>
      <c r="F30" s="10" t="n"/>
      <c r="G30" s="10" t="n"/>
      <c r="H30" s="10" t="n"/>
    </row>
    <row r="31">
      <c r="A31" s="13" t="inlineStr"/>
      <c r="B31" s="10" t="n">
        <v>340</v>
      </c>
      <c r="C31" s="10" t="n">
        <v>1.64</v>
      </c>
      <c r="D31" s="10" t="n">
        <v>0.6599999999999999</v>
      </c>
      <c r="E31" s="10" t="n">
        <v>4.639999999999986</v>
      </c>
      <c r="F31" s="10" t="n">
        <v>3.549599999999989</v>
      </c>
      <c r="G31" s="10" t="n">
        <v>-0.21</v>
      </c>
      <c r="H31" s="10" t="n">
        <v>4.644749724150901</v>
      </c>
    </row>
    <row r="32">
      <c r="A32" s="13" t="inlineStr"/>
      <c r="B32" s="10" t="n">
        <v>360</v>
      </c>
      <c r="C32" s="10" t="n">
        <v>1.47</v>
      </c>
      <c r="D32" s="10" t="n">
        <v>0.8299999999999998</v>
      </c>
      <c r="E32" s="10" t="n">
        <v>20</v>
      </c>
      <c r="F32" s="10" t="n">
        <v>14.9</v>
      </c>
      <c r="G32" s="10" t="n">
        <v>0.1699999999999999</v>
      </c>
      <c r="H32" s="10" t="n">
        <v>20.00072248695032</v>
      </c>
    </row>
    <row r="33">
      <c r="A33" s="13" t="inlineStr"/>
      <c r="B33" s="10" t="n">
        <v>363.88</v>
      </c>
      <c r="C33" s="10" t="n">
        <v>1.46</v>
      </c>
      <c r="D33" s="10" t="n">
        <v>0.8399999999999999</v>
      </c>
      <c r="E33" s="10" t="n">
        <v>3.879999999999995</v>
      </c>
      <c r="F33" s="10" t="n">
        <v>3.239799999999996</v>
      </c>
      <c r="G33" s="10" t="n">
        <v>0.01000000000000001</v>
      </c>
      <c r="H33" s="10" t="n">
        <v>3.880012886576534</v>
      </c>
    </row>
    <row r="34">
      <c r="A34" s="13" t="inlineStr"/>
      <c r="B34" s="10" t="n">
        <v>367.67</v>
      </c>
      <c r="C34" s="10" t="n">
        <v>1.49</v>
      </c>
      <c r="D34" s="10" t="n">
        <v>0.8099999999999998</v>
      </c>
      <c r="E34" s="10" t="n">
        <v>3.79000000000002</v>
      </c>
      <c r="F34" s="10" t="n">
        <v>3.126750000000016</v>
      </c>
      <c r="G34" s="10" t="n">
        <v>-0.03000000000000003</v>
      </c>
      <c r="H34" s="10" t="n">
        <v>3.790118731649466</v>
      </c>
    </row>
    <row r="35">
      <c r="A35" s="13" t="inlineStr"/>
      <c r="B35" s="10" t="n">
        <v>368.68</v>
      </c>
      <c r="C35" s="10" t="n">
        <v>1.64</v>
      </c>
      <c r="D35" s="10" t="n">
        <v>0.6599999999999999</v>
      </c>
      <c r="E35" s="10" t="n">
        <v>1.009999999999991</v>
      </c>
      <c r="F35" s="10" t="n">
        <v>0.7423499999999932</v>
      </c>
      <c r="G35" s="10" t="n">
        <v>-0.1499999999999999</v>
      </c>
      <c r="H35" s="10" t="n">
        <v>1.021077861869496</v>
      </c>
    </row>
    <row r="36">
      <c r="A36" s="14" t="inlineStr">
        <is>
          <t>Tổng cộng bãi phải</t>
        </is>
      </c>
      <c r="B36" s="15" t="n"/>
      <c r="C36" s="15" t="n"/>
      <c r="D36" s="15" t="n"/>
      <c r="E36" s="15" t="n">
        <v>33.31999999999999</v>
      </c>
      <c r="F36" s="15" t="n">
        <v>25.5585</v>
      </c>
      <c r="G36" s="15" t="n">
        <v>-0.21</v>
      </c>
      <c r="H36" s="15" t="n">
        <v>33.33668169119671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H6 = 2.00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39.60491525423729</v>
      </c>
      <c r="C5" s="10" t="n">
        <v>2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40</v>
      </c>
      <c r="C6" s="10" t="n">
        <v>1.73</v>
      </c>
      <c r="D6" s="10" t="n">
        <v>0.27</v>
      </c>
      <c r="E6" s="10" t="n">
        <v>0.3950847457627091</v>
      </c>
      <c r="F6" s="10" t="n">
        <v>0.05333644067796574</v>
      </c>
      <c r="G6" s="10" t="n">
        <v>0.27</v>
      </c>
      <c r="H6" s="10" t="n">
        <v>0.4785310400949812</v>
      </c>
    </row>
    <row r="7">
      <c r="A7" s="13" t="inlineStr"/>
      <c r="B7" s="10" t="n">
        <v>50.66</v>
      </c>
      <c r="C7" s="10" t="n">
        <v>1.32</v>
      </c>
      <c r="D7" s="10" t="n">
        <v>0.6799999999999999</v>
      </c>
      <c r="E7" s="10" t="n">
        <v>10.66</v>
      </c>
      <c r="F7" s="10" t="n">
        <v>5.063499999999999</v>
      </c>
      <c r="G7" s="10" t="n">
        <v>0.4099999999999999</v>
      </c>
      <c r="H7" s="10" t="n">
        <v>10.6678817016313</v>
      </c>
    </row>
    <row r="8">
      <c r="A8" s="14" t="inlineStr">
        <is>
          <t>Tổng cộng bãi trái</t>
        </is>
      </c>
      <c r="B8" s="15" t="n"/>
      <c r="C8" s="15" t="n"/>
      <c r="D8" s="15" t="n"/>
      <c r="E8" s="15" t="n">
        <v>11.05508474576271</v>
      </c>
      <c r="F8" s="15" t="n">
        <v>5.116836440677965</v>
      </c>
      <c r="G8" s="15" t="n">
        <v>0.6799999999999999</v>
      </c>
      <c r="H8" s="15" t="n">
        <v>11.14641274172628</v>
      </c>
    </row>
    <row r="9">
      <c r="A9" s="13" t="inlineStr">
        <is>
          <t>Dòng chủ</t>
        </is>
      </c>
      <c r="B9" s="10" t="n">
        <v>50.66</v>
      </c>
      <c r="C9" s="10" t="n">
        <v>1.32</v>
      </c>
      <c r="D9" s="10" t="n">
        <v>0.6799999999999999</v>
      </c>
      <c r="E9" s="10" t="n"/>
      <c r="F9" s="10" t="n"/>
      <c r="G9" s="10" t="n"/>
      <c r="H9" s="10" t="n"/>
    </row>
    <row r="10">
      <c r="A10" s="13" t="inlineStr"/>
      <c r="B10" s="10" t="n">
        <v>51.51</v>
      </c>
      <c r="C10" s="10" t="n">
        <v>0.6400000000000001</v>
      </c>
      <c r="D10" s="10" t="n">
        <v>1.36</v>
      </c>
      <c r="E10" s="10" t="n">
        <v>0.8500000000000014</v>
      </c>
      <c r="F10" s="10" t="n">
        <v>0.8670000000000014</v>
      </c>
      <c r="G10" s="10" t="n">
        <v>0.6799999999999999</v>
      </c>
      <c r="H10" s="10" t="n">
        <v>1.088531120363585</v>
      </c>
    </row>
    <row r="11">
      <c r="A11" s="13" t="inlineStr"/>
      <c r="B11" s="10" t="n">
        <v>60</v>
      </c>
      <c r="C11" s="10" t="n">
        <v>-1.01</v>
      </c>
      <c r="D11" s="10" t="n">
        <v>3.01</v>
      </c>
      <c r="E11" s="10" t="n">
        <v>8.490000000000002</v>
      </c>
      <c r="F11" s="10" t="n">
        <v>18.55065</v>
      </c>
      <c r="G11" s="10" t="n">
        <v>1.65</v>
      </c>
      <c r="H11" s="10" t="n">
        <v>8.648849634488972</v>
      </c>
    </row>
    <row r="12">
      <c r="A12" s="13" t="inlineStr"/>
      <c r="B12" s="10" t="n">
        <v>70.52</v>
      </c>
      <c r="C12" s="10" t="n">
        <v>-2.109999999999999</v>
      </c>
      <c r="D12" s="10" t="n">
        <v>4.109999999999999</v>
      </c>
      <c r="E12" s="10" t="n">
        <v>10.52</v>
      </c>
      <c r="F12" s="10" t="n">
        <v>37.45119999999998</v>
      </c>
      <c r="G12" s="10" t="n">
        <v>1.1</v>
      </c>
      <c r="H12" s="10" t="n">
        <v>10.57735316608082</v>
      </c>
    </row>
    <row r="13">
      <c r="A13" s="13" t="inlineStr"/>
      <c r="B13" s="10" t="n">
        <v>80</v>
      </c>
      <c r="C13" s="10" t="n">
        <v>-2.59</v>
      </c>
      <c r="D13" s="10" t="n">
        <v>4.59</v>
      </c>
      <c r="E13" s="10" t="n">
        <v>9.480000000000004</v>
      </c>
      <c r="F13" s="10" t="n">
        <v>41.23800000000001</v>
      </c>
      <c r="G13" s="10" t="n">
        <v>0.4800000000000004</v>
      </c>
      <c r="H13" s="10" t="n">
        <v>9.49214412027125</v>
      </c>
    </row>
    <row r="14">
      <c r="A14" s="13" t="inlineStr"/>
      <c r="B14" s="10" t="n">
        <v>100</v>
      </c>
      <c r="C14" s="10" t="n">
        <v>-2.1</v>
      </c>
      <c r="D14" s="10" t="n">
        <v>4.1</v>
      </c>
      <c r="E14" s="10" t="n">
        <v>20</v>
      </c>
      <c r="F14" s="10" t="n">
        <v>86.89999999999999</v>
      </c>
      <c r="G14" s="10" t="n">
        <v>-0.4900000000000002</v>
      </c>
      <c r="H14" s="10" t="n">
        <v>20.00600159952008</v>
      </c>
    </row>
    <row r="15">
      <c r="A15" s="13" t="inlineStr"/>
      <c r="B15" s="10" t="n">
        <v>120</v>
      </c>
      <c r="C15" s="10" t="n">
        <v>-3.26</v>
      </c>
      <c r="D15" s="10" t="n">
        <v>5.26</v>
      </c>
      <c r="E15" s="10" t="n">
        <v>20</v>
      </c>
      <c r="F15" s="10" t="n">
        <v>93.59999999999999</v>
      </c>
      <c r="G15" s="10" t="n">
        <v>1.16</v>
      </c>
      <c r="H15" s="10" t="n">
        <v>20.03361175624605</v>
      </c>
    </row>
    <row r="16">
      <c r="A16" s="13" t="inlineStr"/>
      <c r="B16" s="10" t="n">
        <v>140</v>
      </c>
      <c r="C16" s="10" t="n">
        <v>-4.04</v>
      </c>
      <c r="D16" s="10" t="n">
        <v>6.04</v>
      </c>
      <c r="E16" s="10" t="n">
        <v>20</v>
      </c>
      <c r="F16" s="10" t="n">
        <v>113</v>
      </c>
      <c r="G16" s="10" t="n">
        <v>0.7800000000000002</v>
      </c>
      <c r="H16" s="10" t="n">
        <v>20.01520422079175</v>
      </c>
    </row>
    <row r="17">
      <c r="A17" s="13" t="inlineStr"/>
      <c r="B17" s="10" t="n">
        <v>160</v>
      </c>
      <c r="C17" s="10" t="n">
        <v>-4.13</v>
      </c>
      <c r="D17" s="10" t="n">
        <v>6.13</v>
      </c>
      <c r="E17" s="10" t="n">
        <v>20</v>
      </c>
      <c r="F17" s="10" t="n">
        <v>121.7</v>
      </c>
      <c r="G17" s="10" t="n">
        <v>0.08999999999999986</v>
      </c>
      <c r="H17" s="10" t="n">
        <v>20.00020249897485</v>
      </c>
    </row>
    <row r="18">
      <c r="A18" s="13" t="inlineStr"/>
      <c r="B18" s="10" t="n">
        <v>180</v>
      </c>
      <c r="C18" s="10" t="n">
        <v>-3.87</v>
      </c>
      <c r="D18" s="10" t="n">
        <v>5.87</v>
      </c>
      <c r="E18" s="10" t="n">
        <v>20</v>
      </c>
      <c r="F18" s="10" t="n">
        <v>120</v>
      </c>
      <c r="G18" s="10" t="n">
        <v>-0.2599999999999998</v>
      </c>
      <c r="H18" s="10" t="n">
        <v>20.00168992860353</v>
      </c>
    </row>
    <row r="19">
      <c r="A19" s="13" t="inlineStr"/>
      <c r="B19" s="10" t="n">
        <v>200</v>
      </c>
      <c r="C19" s="10" t="n">
        <v>-4.09</v>
      </c>
      <c r="D19" s="10" t="n">
        <v>6.09</v>
      </c>
      <c r="E19" s="10" t="n">
        <v>20</v>
      </c>
      <c r="F19" s="10" t="n">
        <v>119.6</v>
      </c>
      <c r="G19" s="10" t="n">
        <v>0.2199999999999998</v>
      </c>
      <c r="H19" s="10" t="n">
        <v>20.00120996339971</v>
      </c>
    </row>
    <row r="20">
      <c r="A20" s="13" t="inlineStr"/>
      <c r="B20" s="10" t="n">
        <v>220</v>
      </c>
      <c r="C20" s="10" t="n">
        <v>-4.25</v>
      </c>
      <c r="D20" s="10" t="n">
        <v>6.25</v>
      </c>
      <c r="E20" s="10" t="n">
        <v>20</v>
      </c>
      <c r="F20" s="10" t="n">
        <v>123.4</v>
      </c>
      <c r="G20" s="10" t="n">
        <v>0.1600000000000001</v>
      </c>
      <c r="H20" s="10" t="n">
        <v>20.00063998976033</v>
      </c>
    </row>
    <row r="21">
      <c r="A21" s="13" t="inlineStr"/>
      <c r="B21" s="10" t="n">
        <v>240</v>
      </c>
      <c r="C21" s="10" t="n">
        <v>-3.720000000000001</v>
      </c>
      <c r="D21" s="10" t="n">
        <v>5.720000000000001</v>
      </c>
      <c r="E21" s="10" t="n">
        <v>20</v>
      </c>
      <c r="F21" s="10" t="n">
        <v>119.7</v>
      </c>
      <c r="G21" s="10" t="n">
        <v>-0.5299999999999994</v>
      </c>
      <c r="H21" s="10" t="n">
        <v>20.00702126754505</v>
      </c>
    </row>
    <row r="22">
      <c r="A22" s="13" t="inlineStr"/>
      <c r="B22" s="10" t="n">
        <v>260</v>
      </c>
      <c r="C22" s="10" t="n">
        <v>-3.45</v>
      </c>
      <c r="D22" s="10" t="n">
        <v>5.45</v>
      </c>
      <c r="E22" s="10" t="n">
        <v>20</v>
      </c>
      <c r="F22" s="10" t="n">
        <v>111.7</v>
      </c>
      <c r="G22" s="10" t="n">
        <v>-0.2700000000000005</v>
      </c>
      <c r="H22" s="10" t="n">
        <v>20.00182241696991</v>
      </c>
    </row>
    <row r="23">
      <c r="A23" s="13" t="inlineStr"/>
      <c r="B23" s="10" t="n">
        <v>280</v>
      </c>
      <c r="C23" s="10" t="n">
        <v>-3.58</v>
      </c>
      <c r="D23" s="10" t="n">
        <v>5.58</v>
      </c>
      <c r="E23" s="10" t="n">
        <v>20</v>
      </c>
      <c r="F23" s="10" t="n">
        <v>110.3</v>
      </c>
      <c r="G23" s="10" t="n">
        <v>0.1299999999999999</v>
      </c>
      <c r="H23" s="10" t="n">
        <v>20.00042249553744</v>
      </c>
    </row>
    <row r="24">
      <c r="A24" s="13" t="inlineStr"/>
      <c r="B24" s="10" t="n">
        <v>300</v>
      </c>
      <c r="C24" s="10" t="n">
        <v>-2.890000000000001</v>
      </c>
      <c r="D24" s="10" t="n">
        <v>4.890000000000001</v>
      </c>
      <c r="E24" s="10" t="n">
        <v>20</v>
      </c>
      <c r="F24" s="10" t="n">
        <v>104.7</v>
      </c>
      <c r="G24" s="10" t="n">
        <v>-0.6899999999999995</v>
      </c>
      <c r="H24" s="10" t="n">
        <v>20.01189896036855</v>
      </c>
    </row>
    <row r="25">
      <c r="A25" s="13" t="inlineStr"/>
      <c r="B25" s="10" t="n">
        <v>314.06</v>
      </c>
      <c r="C25" s="10" t="n">
        <v>-2.81</v>
      </c>
      <c r="D25" s="10" t="n">
        <v>4.81</v>
      </c>
      <c r="E25" s="10" t="n">
        <v>14.06</v>
      </c>
      <c r="F25" s="10" t="n">
        <v>68.19100000000002</v>
      </c>
      <c r="G25" s="10" t="n">
        <v>-0.08000000000000007</v>
      </c>
      <c r="H25" s="10" t="n">
        <v>14.060227594175</v>
      </c>
    </row>
    <row r="26">
      <c r="A26" s="13" t="inlineStr"/>
      <c r="B26" s="10" t="n">
        <v>320</v>
      </c>
      <c r="C26" s="10" t="n">
        <v>-1.5</v>
      </c>
      <c r="D26" s="10" t="n">
        <v>3.5</v>
      </c>
      <c r="E26" s="10" t="n">
        <v>5.939999999999998</v>
      </c>
      <c r="F26" s="10" t="n">
        <v>24.68069999999999</v>
      </c>
      <c r="G26" s="10" t="n">
        <v>-1.31</v>
      </c>
      <c r="H26" s="10" t="n">
        <v>6.082737870400136</v>
      </c>
    </row>
    <row r="27">
      <c r="A27" s="13" t="inlineStr"/>
      <c r="B27" s="10" t="n">
        <v>332.31</v>
      </c>
      <c r="C27" s="10" t="n">
        <v>-0.1899999999999999</v>
      </c>
      <c r="D27" s="10" t="n">
        <v>2.19</v>
      </c>
      <c r="E27" s="10" t="n">
        <v>12.31</v>
      </c>
      <c r="F27" s="10" t="n">
        <v>35.02195</v>
      </c>
      <c r="G27" s="10" t="n">
        <v>-1.31</v>
      </c>
      <c r="H27" s="10" t="n">
        <v>12.37950725998414</v>
      </c>
    </row>
    <row r="28">
      <c r="A28" s="13" t="inlineStr"/>
      <c r="B28" s="10" t="n">
        <v>335.36</v>
      </c>
      <c r="C28" s="10" t="n">
        <v>1.43</v>
      </c>
      <c r="D28" s="10" t="n">
        <v>0.5700000000000001</v>
      </c>
      <c r="E28" s="10" t="n">
        <v>3.050000000000011</v>
      </c>
      <c r="F28" s="10" t="n">
        <v>4.209000000000016</v>
      </c>
      <c r="G28" s="10" t="n">
        <v>-1.62</v>
      </c>
      <c r="H28" s="10" t="n">
        <v>3.453534421429743</v>
      </c>
    </row>
    <row r="29">
      <c r="A29" s="14" t="inlineStr">
        <is>
          <t>Tổng cộng dòng chủ</t>
        </is>
      </c>
      <c r="B29" s="15" t="n"/>
      <c r="C29" s="15" t="n"/>
      <c r="D29" s="15" t="n"/>
      <c r="E29" s="15" t="n">
        <v>284.7</v>
      </c>
      <c r="F29" s="15" t="n">
        <v>1454.8095</v>
      </c>
      <c r="G29" s="15" t="n">
        <v>-0.1099999999999997</v>
      </c>
      <c r="H29" s="15" t="n">
        <v>285.8626102849109</v>
      </c>
    </row>
    <row r="30">
      <c r="A30" s="13" t="inlineStr">
        <is>
          <t>Bãi phải</t>
        </is>
      </c>
      <c r="B30" s="10" t="n">
        <v>335.36</v>
      </c>
      <c r="C30" s="10" t="n">
        <v>1.43</v>
      </c>
      <c r="D30" s="10" t="n">
        <v>0.5700000000000001</v>
      </c>
      <c r="E30" s="10" t="n"/>
      <c r="F30" s="10" t="n"/>
      <c r="G30" s="10" t="n"/>
      <c r="H30" s="10" t="n"/>
    </row>
    <row r="31">
      <c r="A31" s="13" t="inlineStr"/>
      <c r="B31" s="10" t="n">
        <v>340</v>
      </c>
      <c r="C31" s="10" t="n">
        <v>1.64</v>
      </c>
      <c r="D31" s="10" t="n">
        <v>0.3600000000000001</v>
      </c>
      <c r="E31" s="10" t="n">
        <v>4.639999999999986</v>
      </c>
      <c r="F31" s="10" t="n">
        <v>2.157599999999994</v>
      </c>
      <c r="G31" s="10" t="n">
        <v>-0.21</v>
      </c>
      <c r="H31" s="10" t="n">
        <v>4.644749724150901</v>
      </c>
    </row>
    <row r="32">
      <c r="A32" s="13" t="inlineStr"/>
      <c r="B32" s="10" t="n">
        <v>360</v>
      </c>
      <c r="C32" s="10" t="n">
        <v>1.47</v>
      </c>
      <c r="D32" s="10" t="n">
        <v>0.53</v>
      </c>
      <c r="E32" s="10" t="n">
        <v>20</v>
      </c>
      <c r="F32" s="10" t="n">
        <v>8.900000000000002</v>
      </c>
      <c r="G32" s="10" t="n">
        <v>0.1699999999999999</v>
      </c>
      <c r="H32" s="10" t="n">
        <v>20.00072248695032</v>
      </c>
    </row>
    <row r="33">
      <c r="A33" s="13" t="inlineStr"/>
      <c r="B33" s="10" t="n">
        <v>363.88</v>
      </c>
      <c r="C33" s="10" t="n">
        <v>1.46</v>
      </c>
      <c r="D33" s="10" t="n">
        <v>0.54</v>
      </c>
      <c r="E33" s="10" t="n">
        <v>3.879999999999995</v>
      </c>
      <c r="F33" s="10" t="n">
        <v>2.075799999999998</v>
      </c>
      <c r="G33" s="10" t="n">
        <v>0.01000000000000001</v>
      </c>
      <c r="H33" s="10" t="n">
        <v>3.880012886576534</v>
      </c>
    </row>
    <row r="34">
      <c r="A34" s="13" t="inlineStr"/>
      <c r="B34" s="10" t="n">
        <v>367.67</v>
      </c>
      <c r="C34" s="10" t="n">
        <v>1.49</v>
      </c>
      <c r="D34" s="10" t="n">
        <v>0.51</v>
      </c>
      <c r="E34" s="10" t="n">
        <v>3.79000000000002</v>
      </c>
      <c r="F34" s="10" t="n">
        <v>1.989750000000011</v>
      </c>
      <c r="G34" s="10" t="n">
        <v>-0.03000000000000003</v>
      </c>
      <c r="H34" s="10" t="n">
        <v>3.790118731649466</v>
      </c>
    </row>
    <row r="35">
      <c r="A35" s="13" t="inlineStr"/>
      <c r="B35" s="10" t="n">
        <v>368.68</v>
      </c>
      <c r="C35" s="10" t="n">
        <v>1.64</v>
      </c>
      <c r="D35" s="10" t="n">
        <v>0.3600000000000001</v>
      </c>
      <c r="E35" s="10" t="n">
        <v>1.009999999999991</v>
      </c>
      <c r="F35" s="10" t="n">
        <v>0.4393499999999961</v>
      </c>
      <c r="G35" s="10" t="n">
        <v>-0.1499999999999999</v>
      </c>
      <c r="H35" s="10" t="n">
        <v>1.021077861869496</v>
      </c>
    </row>
    <row r="36">
      <c r="A36" s="14" t="inlineStr">
        <is>
          <t>Tổng cộng bãi phải</t>
        </is>
      </c>
      <c r="B36" s="15" t="n"/>
      <c r="C36" s="15" t="n"/>
      <c r="D36" s="15" t="n"/>
      <c r="E36" s="15" t="n">
        <v>33.31999999999999</v>
      </c>
      <c r="F36" s="15" t="n">
        <v>15.5625</v>
      </c>
      <c r="G36" s="15" t="n">
        <v>-0.21</v>
      </c>
      <c r="H36" s="15" t="n">
        <v>33.33668169119671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H7 = 1.70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40.78</v>
      </c>
      <c r="C5" s="10" t="n">
        <v>1.7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50.66</v>
      </c>
      <c r="C6" s="10" t="n">
        <v>1.32</v>
      </c>
      <c r="D6" s="10" t="n">
        <v>0.3799999999999999</v>
      </c>
      <c r="E6" s="10" t="n">
        <v>9.879999999999995</v>
      </c>
      <c r="F6" s="10" t="n">
        <v>1.877199999999999</v>
      </c>
      <c r="G6" s="10" t="n">
        <v>0.3799999999999999</v>
      </c>
      <c r="H6" s="10" t="n">
        <v>9.887304991755839</v>
      </c>
    </row>
    <row r="7">
      <c r="A7" s="14" t="inlineStr">
        <is>
          <t>Tổng cộng bãi trái</t>
        </is>
      </c>
      <c r="B7" s="15" t="n"/>
      <c r="C7" s="15" t="n"/>
      <c r="D7" s="15" t="n"/>
      <c r="E7" s="15" t="n">
        <v>9.879999999999995</v>
      </c>
      <c r="F7" s="15" t="n">
        <v>1.877199999999999</v>
      </c>
      <c r="G7" s="15" t="n">
        <v>0.3799999999999999</v>
      </c>
      <c r="H7" s="15" t="n">
        <v>9.887304991755839</v>
      </c>
    </row>
    <row r="8">
      <c r="A8" s="13" t="inlineStr">
        <is>
          <t>Dòng chủ</t>
        </is>
      </c>
      <c r="B8" s="10" t="n">
        <v>50.66</v>
      </c>
      <c r="C8" s="10" t="n">
        <v>1.32</v>
      </c>
      <c r="D8" s="10" t="n">
        <v>0.3799999999999999</v>
      </c>
      <c r="E8" s="10" t="n"/>
      <c r="F8" s="10" t="n"/>
      <c r="G8" s="10" t="n"/>
      <c r="H8" s="10" t="n"/>
    </row>
    <row r="9">
      <c r="A9" s="13" t="inlineStr"/>
      <c r="B9" s="10" t="n">
        <v>51.51</v>
      </c>
      <c r="C9" s="10" t="n">
        <v>0.6399999999999999</v>
      </c>
      <c r="D9" s="10" t="n">
        <v>1.06</v>
      </c>
      <c r="E9" s="10" t="n">
        <v>0.8500000000000014</v>
      </c>
      <c r="F9" s="10" t="n">
        <v>0.612000000000001</v>
      </c>
      <c r="G9" s="10" t="n">
        <v>0.6800000000000002</v>
      </c>
      <c r="H9" s="10" t="n">
        <v>1.088531120363585</v>
      </c>
    </row>
    <row r="10">
      <c r="A10" s="13" t="inlineStr"/>
      <c r="B10" s="10" t="n">
        <v>60</v>
      </c>
      <c r="C10" s="10" t="n">
        <v>-1.01</v>
      </c>
      <c r="D10" s="10" t="n">
        <v>2.71</v>
      </c>
      <c r="E10" s="10" t="n">
        <v>8.490000000000002</v>
      </c>
      <c r="F10" s="10" t="n">
        <v>16.00365</v>
      </c>
      <c r="G10" s="10" t="n">
        <v>1.65</v>
      </c>
      <c r="H10" s="10" t="n">
        <v>8.648849634488972</v>
      </c>
    </row>
    <row r="11">
      <c r="A11" s="13" t="inlineStr"/>
      <c r="B11" s="10" t="n">
        <v>70.52</v>
      </c>
      <c r="C11" s="10" t="n">
        <v>-2.109999999999999</v>
      </c>
      <c r="D11" s="10" t="n">
        <v>3.81</v>
      </c>
      <c r="E11" s="10" t="n">
        <v>10.52</v>
      </c>
      <c r="F11" s="10" t="n">
        <v>34.29519999999999</v>
      </c>
      <c r="G11" s="10" t="n">
        <v>1.1</v>
      </c>
      <c r="H11" s="10" t="n">
        <v>10.57735316608082</v>
      </c>
    </row>
    <row r="12">
      <c r="A12" s="13" t="inlineStr"/>
      <c r="B12" s="10" t="n">
        <v>80</v>
      </c>
      <c r="C12" s="10" t="n">
        <v>-2.59</v>
      </c>
      <c r="D12" s="10" t="n">
        <v>4.29</v>
      </c>
      <c r="E12" s="10" t="n">
        <v>9.480000000000004</v>
      </c>
      <c r="F12" s="10" t="n">
        <v>38.39400000000001</v>
      </c>
      <c r="G12" s="10" t="n">
        <v>0.4800000000000004</v>
      </c>
      <c r="H12" s="10" t="n">
        <v>9.49214412027125</v>
      </c>
    </row>
    <row r="13">
      <c r="A13" s="13" t="inlineStr"/>
      <c r="B13" s="10" t="n">
        <v>100</v>
      </c>
      <c r="C13" s="10" t="n">
        <v>-2.1</v>
      </c>
      <c r="D13" s="10" t="n">
        <v>3.8</v>
      </c>
      <c r="E13" s="10" t="n">
        <v>20</v>
      </c>
      <c r="F13" s="10" t="n">
        <v>80.90000000000001</v>
      </c>
      <c r="G13" s="10" t="n">
        <v>-0.4900000000000002</v>
      </c>
      <c r="H13" s="10" t="n">
        <v>20.00600159952008</v>
      </c>
    </row>
    <row r="14">
      <c r="A14" s="13" t="inlineStr"/>
      <c r="B14" s="10" t="n">
        <v>120</v>
      </c>
      <c r="C14" s="10" t="n">
        <v>-3.26</v>
      </c>
      <c r="D14" s="10" t="n">
        <v>4.96</v>
      </c>
      <c r="E14" s="10" t="n">
        <v>20</v>
      </c>
      <c r="F14" s="10" t="n">
        <v>87.59999999999999</v>
      </c>
      <c r="G14" s="10" t="n">
        <v>1.16</v>
      </c>
      <c r="H14" s="10" t="n">
        <v>20.03361175624605</v>
      </c>
    </row>
    <row r="15">
      <c r="A15" s="13" t="inlineStr"/>
      <c r="B15" s="10" t="n">
        <v>140</v>
      </c>
      <c r="C15" s="10" t="n">
        <v>-4.04</v>
      </c>
      <c r="D15" s="10" t="n">
        <v>5.74</v>
      </c>
      <c r="E15" s="10" t="n">
        <v>20</v>
      </c>
      <c r="F15" s="10" t="n">
        <v>107</v>
      </c>
      <c r="G15" s="10" t="n">
        <v>0.7800000000000002</v>
      </c>
      <c r="H15" s="10" t="n">
        <v>20.01520422079175</v>
      </c>
    </row>
    <row r="16">
      <c r="A16" s="13" t="inlineStr"/>
      <c r="B16" s="10" t="n">
        <v>160</v>
      </c>
      <c r="C16" s="10" t="n">
        <v>-4.13</v>
      </c>
      <c r="D16" s="10" t="n">
        <v>5.83</v>
      </c>
      <c r="E16" s="10" t="n">
        <v>20</v>
      </c>
      <c r="F16" s="10" t="n">
        <v>115.7</v>
      </c>
      <c r="G16" s="10" t="n">
        <v>0.08999999999999986</v>
      </c>
      <c r="H16" s="10" t="n">
        <v>20.00020249897485</v>
      </c>
    </row>
    <row r="17">
      <c r="A17" s="13" t="inlineStr"/>
      <c r="B17" s="10" t="n">
        <v>180</v>
      </c>
      <c r="C17" s="10" t="n">
        <v>-3.87</v>
      </c>
      <c r="D17" s="10" t="n">
        <v>5.57</v>
      </c>
      <c r="E17" s="10" t="n">
        <v>20</v>
      </c>
      <c r="F17" s="10" t="n">
        <v>114</v>
      </c>
      <c r="G17" s="10" t="n">
        <v>-0.2599999999999998</v>
      </c>
      <c r="H17" s="10" t="n">
        <v>20.00168992860353</v>
      </c>
    </row>
    <row r="18">
      <c r="A18" s="13" t="inlineStr"/>
      <c r="B18" s="10" t="n">
        <v>200</v>
      </c>
      <c r="C18" s="10" t="n">
        <v>-4.09</v>
      </c>
      <c r="D18" s="10" t="n">
        <v>5.79</v>
      </c>
      <c r="E18" s="10" t="n">
        <v>20</v>
      </c>
      <c r="F18" s="10" t="n">
        <v>113.6</v>
      </c>
      <c r="G18" s="10" t="n">
        <v>0.2199999999999998</v>
      </c>
      <c r="H18" s="10" t="n">
        <v>20.00120996339971</v>
      </c>
    </row>
    <row r="19">
      <c r="A19" s="13" t="inlineStr"/>
      <c r="B19" s="10" t="n">
        <v>220</v>
      </c>
      <c r="C19" s="10" t="n">
        <v>-4.25</v>
      </c>
      <c r="D19" s="10" t="n">
        <v>5.95</v>
      </c>
      <c r="E19" s="10" t="n">
        <v>20</v>
      </c>
      <c r="F19" s="10" t="n">
        <v>117.4</v>
      </c>
      <c r="G19" s="10" t="n">
        <v>0.1600000000000001</v>
      </c>
      <c r="H19" s="10" t="n">
        <v>20.00063998976033</v>
      </c>
    </row>
    <row r="20">
      <c r="A20" s="13" t="inlineStr"/>
      <c r="B20" s="10" t="n">
        <v>240</v>
      </c>
      <c r="C20" s="10" t="n">
        <v>-3.72</v>
      </c>
      <c r="D20" s="10" t="n">
        <v>5.42</v>
      </c>
      <c r="E20" s="10" t="n">
        <v>20</v>
      </c>
      <c r="F20" s="10" t="n">
        <v>113.7</v>
      </c>
      <c r="G20" s="10" t="n">
        <v>-0.5300000000000002</v>
      </c>
      <c r="H20" s="10" t="n">
        <v>20.00702126754505</v>
      </c>
    </row>
    <row r="21">
      <c r="A21" s="13" t="inlineStr"/>
      <c r="B21" s="10" t="n">
        <v>260</v>
      </c>
      <c r="C21" s="10" t="n">
        <v>-3.45</v>
      </c>
      <c r="D21" s="10" t="n">
        <v>5.15</v>
      </c>
      <c r="E21" s="10" t="n">
        <v>20</v>
      </c>
      <c r="F21" s="10" t="n">
        <v>105.7</v>
      </c>
      <c r="G21" s="10" t="n">
        <v>-0.2699999999999996</v>
      </c>
      <c r="H21" s="10" t="n">
        <v>20.00182241696991</v>
      </c>
    </row>
    <row r="22">
      <c r="A22" s="13" t="inlineStr"/>
      <c r="B22" s="10" t="n">
        <v>280</v>
      </c>
      <c r="C22" s="10" t="n">
        <v>-3.58</v>
      </c>
      <c r="D22" s="10" t="n">
        <v>5.28</v>
      </c>
      <c r="E22" s="10" t="n">
        <v>20</v>
      </c>
      <c r="F22" s="10" t="n">
        <v>104.3</v>
      </c>
      <c r="G22" s="10" t="n">
        <v>0.1299999999999999</v>
      </c>
      <c r="H22" s="10" t="n">
        <v>20.00042249553744</v>
      </c>
    </row>
    <row r="23">
      <c r="A23" s="13" t="inlineStr"/>
      <c r="B23" s="10" t="n">
        <v>300</v>
      </c>
      <c r="C23" s="10" t="n">
        <v>-2.89</v>
      </c>
      <c r="D23" s="10" t="n">
        <v>4.59</v>
      </c>
      <c r="E23" s="10" t="n">
        <v>20</v>
      </c>
      <c r="F23" s="10" t="n">
        <v>98.70000000000002</v>
      </c>
      <c r="G23" s="10" t="n">
        <v>-0.6900000000000004</v>
      </c>
      <c r="H23" s="10" t="n">
        <v>20.01189896036855</v>
      </c>
    </row>
    <row r="24">
      <c r="A24" s="13" t="inlineStr"/>
      <c r="B24" s="10" t="n">
        <v>314.06</v>
      </c>
      <c r="C24" s="10" t="n">
        <v>-2.81</v>
      </c>
      <c r="D24" s="10" t="n">
        <v>4.51</v>
      </c>
      <c r="E24" s="10" t="n">
        <v>14.06</v>
      </c>
      <c r="F24" s="10" t="n">
        <v>63.97300000000001</v>
      </c>
      <c r="G24" s="10" t="n">
        <v>-0.08000000000000007</v>
      </c>
      <c r="H24" s="10" t="n">
        <v>14.060227594175</v>
      </c>
    </row>
    <row r="25">
      <c r="A25" s="13" t="inlineStr"/>
      <c r="B25" s="10" t="n">
        <v>320</v>
      </c>
      <c r="C25" s="10" t="n">
        <v>-1.5</v>
      </c>
      <c r="D25" s="10" t="n">
        <v>3.2</v>
      </c>
      <c r="E25" s="10" t="n">
        <v>5.939999999999998</v>
      </c>
      <c r="F25" s="10" t="n">
        <v>22.89869999999999</v>
      </c>
      <c r="G25" s="10" t="n">
        <v>-1.31</v>
      </c>
      <c r="H25" s="10" t="n">
        <v>6.082737870400135</v>
      </c>
    </row>
    <row r="26">
      <c r="A26" s="13" t="inlineStr"/>
      <c r="B26" s="10" t="n">
        <v>332.31</v>
      </c>
      <c r="C26" s="10" t="n">
        <v>-0.1899999999999999</v>
      </c>
      <c r="D26" s="10" t="n">
        <v>1.89</v>
      </c>
      <c r="E26" s="10" t="n">
        <v>12.31</v>
      </c>
      <c r="F26" s="10" t="n">
        <v>31.32895000000001</v>
      </c>
      <c r="G26" s="10" t="n">
        <v>-1.31</v>
      </c>
      <c r="H26" s="10" t="n">
        <v>12.37950725998414</v>
      </c>
    </row>
    <row r="27">
      <c r="A27" s="13" t="inlineStr"/>
      <c r="B27" s="10" t="n">
        <v>335.36</v>
      </c>
      <c r="C27" s="10" t="n">
        <v>1.43</v>
      </c>
      <c r="D27" s="10" t="n">
        <v>0.27</v>
      </c>
      <c r="E27" s="10" t="n">
        <v>3.050000000000011</v>
      </c>
      <c r="F27" s="10" t="n">
        <v>3.294000000000012</v>
      </c>
      <c r="G27" s="10" t="n">
        <v>-1.62</v>
      </c>
      <c r="H27" s="10" t="n">
        <v>3.453534421429743</v>
      </c>
    </row>
    <row r="28">
      <c r="A28" s="14" t="inlineStr">
        <is>
          <t>Tổng cộng dòng chủ</t>
        </is>
      </c>
      <c r="B28" s="15" t="n"/>
      <c r="C28" s="15" t="n"/>
      <c r="D28" s="15" t="n"/>
      <c r="E28" s="15" t="n">
        <v>284.7</v>
      </c>
      <c r="F28" s="15" t="n">
        <v>1369.3995</v>
      </c>
      <c r="G28" s="15" t="n">
        <v>-0.1099999999999999</v>
      </c>
      <c r="H28" s="15" t="n">
        <v>285.8626102849109</v>
      </c>
    </row>
    <row r="29">
      <c r="A29" s="13" t="inlineStr">
        <is>
          <t>Bãi phải</t>
        </is>
      </c>
      <c r="B29" s="10" t="n">
        <v>335.36</v>
      </c>
      <c r="C29" s="10" t="n">
        <v>1.43</v>
      </c>
      <c r="D29" s="10" t="n">
        <v>0.27</v>
      </c>
      <c r="E29" s="10" t="n"/>
      <c r="F29" s="10" t="n"/>
      <c r="G29" s="10" t="n"/>
      <c r="H29" s="10" t="n"/>
    </row>
    <row r="30">
      <c r="A30" s="13" t="inlineStr"/>
      <c r="B30" s="10" t="n">
        <v>340</v>
      </c>
      <c r="C30" s="10" t="n">
        <v>1.64</v>
      </c>
      <c r="D30" s="10" t="n">
        <v>0.06000000000000005</v>
      </c>
      <c r="E30" s="10" t="n">
        <v>4.639999999999986</v>
      </c>
      <c r="F30" s="10" t="n">
        <v>0.7655999999999979</v>
      </c>
      <c r="G30" s="10" t="n">
        <v>-0.21</v>
      </c>
      <c r="H30" s="10" t="n">
        <v>4.644749724150901</v>
      </c>
    </row>
    <row r="31">
      <c r="A31" s="13" t="inlineStr"/>
      <c r="B31" s="10" t="n">
        <v>360</v>
      </c>
      <c r="C31" s="10" t="n">
        <v>1.47</v>
      </c>
      <c r="D31" s="10" t="n">
        <v>0.23</v>
      </c>
      <c r="E31" s="10" t="n">
        <v>20</v>
      </c>
      <c r="F31" s="10" t="n">
        <v>2.9</v>
      </c>
      <c r="G31" s="10" t="n">
        <v>0.1699999999999999</v>
      </c>
      <c r="H31" s="10" t="n">
        <v>20.00072248695032</v>
      </c>
    </row>
    <row r="32">
      <c r="A32" s="13" t="inlineStr"/>
      <c r="B32" s="10" t="n">
        <v>363.88</v>
      </c>
      <c r="C32" s="10" t="n">
        <v>1.46</v>
      </c>
      <c r="D32" s="10" t="n">
        <v>0.24</v>
      </c>
      <c r="E32" s="10" t="n">
        <v>3.879999999999995</v>
      </c>
      <c r="F32" s="10" t="n">
        <v>0.9117999999999988</v>
      </c>
      <c r="G32" s="10" t="n">
        <v>0.01000000000000001</v>
      </c>
      <c r="H32" s="10" t="n">
        <v>3.880012886576534</v>
      </c>
    </row>
    <row r="33">
      <c r="A33" s="13" t="inlineStr"/>
      <c r="B33" s="10" t="n">
        <v>367.67</v>
      </c>
      <c r="C33" s="10" t="n">
        <v>1.49</v>
      </c>
      <c r="D33" s="10" t="n">
        <v>0.21</v>
      </c>
      <c r="E33" s="10" t="n">
        <v>3.79000000000002</v>
      </c>
      <c r="F33" s="10" t="n">
        <v>0.8527500000000046</v>
      </c>
      <c r="G33" s="10" t="n">
        <v>-0.03000000000000003</v>
      </c>
      <c r="H33" s="10" t="n">
        <v>3.790118731649466</v>
      </c>
    </row>
    <row r="34">
      <c r="A34" s="13" t="inlineStr"/>
      <c r="B34" s="10" t="n">
        <v>368.68</v>
      </c>
      <c r="C34" s="10" t="n">
        <v>1.64</v>
      </c>
      <c r="D34" s="10" t="n">
        <v>0.06000000000000005</v>
      </c>
      <c r="E34" s="10" t="n">
        <v>1.009999999999991</v>
      </c>
      <c r="F34" s="10" t="n">
        <v>0.1363499999999988</v>
      </c>
      <c r="G34" s="10" t="n">
        <v>-0.1499999999999999</v>
      </c>
      <c r="H34" s="10" t="n">
        <v>1.021077861869496</v>
      </c>
    </row>
    <row r="35">
      <c r="A35" s="14" t="inlineStr">
        <is>
          <t>Tổng cộng bãi phải</t>
        </is>
      </c>
      <c r="B35" s="15" t="n"/>
      <c r="C35" s="15" t="n"/>
      <c r="D35" s="15" t="n"/>
      <c r="E35" s="15" t="n">
        <v>33.31999999999999</v>
      </c>
      <c r="F35" s="15" t="n">
        <v>5.5665</v>
      </c>
      <c r="G35" s="15" t="n">
        <v>-0.21</v>
      </c>
      <c r="H35" s="15" t="n">
        <v>33.33668169119671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H8 = 1.40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3" t="inlineStr">
        <is>
          <t>Bãi trái</t>
        </is>
      </c>
      <c r="B5" s="10" t="n">
        <v>48.58</v>
      </c>
      <c r="C5" s="10" t="n">
        <v>1.4</v>
      </c>
      <c r="D5" s="10" t="n">
        <v>0</v>
      </c>
      <c r="E5" s="10" t="n"/>
      <c r="F5" s="10" t="n"/>
      <c r="G5" s="10" t="n"/>
      <c r="H5" s="10" t="n"/>
    </row>
    <row r="6">
      <c r="A6" s="13" t="inlineStr"/>
      <c r="B6" s="10" t="n">
        <v>50.66</v>
      </c>
      <c r="C6" s="10" t="n">
        <v>1.32</v>
      </c>
      <c r="D6" s="10" t="n">
        <v>0.07999999999999985</v>
      </c>
      <c r="E6" s="10" t="n">
        <v>2.079999999999998</v>
      </c>
      <c r="F6" s="10" t="n">
        <v>0.08319999999999977</v>
      </c>
      <c r="G6" s="10" t="n">
        <v>0.07999999999999985</v>
      </c>
      <c r="H6" s="10" t="n">
        <v>2.081537893001228</v>
      </c>
    </row>
    <row r="7">
      <c r="A7" s="14" t="inlineStr">
        <is>
          <t>Tổng cộng bãi trái</t>
        </is>
      </c>
      <c r="B7" s="15" t="n"/>
      <c r="C7" s="15" t="n"/>
      <c r="D7" s="15" t="n"/>
      <c r="E7" s="15" t="n">
        <v>2.079999999999998</v>
      </c>
      <c r="F7" s="15" t="n">
        <v>0.08319999999999977</v>
      </c>
      <c r="G7" s="15" t="n">
        <v>0.07999999999999985</v>
      </c>
      <c r="H7" s="15" t="n">
        <v>2.081537893001228</v>
      </c>
    </row>
    <row r="8">
      <c r="A8" s="13" t="inlineStr">
        <is>
          <t>Dòng chủ</t>
        </is>
      </c>
      <c r="B8" s="10" t="n">
        <v>50.66</v>
      </c>
      <c r="C8" s="10" t="n">
        <v>1.32</v>
      </c>
      <c r="D8" s="10" t="n">
        <v>0.07999999999999985</v>
      </c>
      <c r="E8" s="10" t="n"/>
      <c r="F8" s="10" t="n"/>
      <c r="G8" s="10" t="n"/>
      <c r="H8" s="10" t="n"/>
    </row>
    <row r="9">
      <c r="A9" s="13" t="inlineStr"/>
      <c r="B9" s="10" t="n">
        <v>51.51</v>
      </c>
      <c r="C9" s="10" t="n">
        <v>0.64</v>
      </c>
      <c r="D9" s="10" t="n">
        <v>0.7599999999999999</v>
      </c>
      <c r="E9" s="10" t="n">
        <v>0.8500000000000014</v>
      </c>
      <c r="F9" s="10" t="n">
        <v>0.3570000000000005</v>
      </c>
      <c r="G9" s="10" t="n">
        <v>0.68</v>
      </c>
      <c r="H9" s="10" t="n">
        <v>1.088531120363585</v>
      </c>
    </row>
    <row r="10">
      <c r="A10" s="13" t="inlineStr"/>
      <c r="B10" s="10" t="n">
        <v>60</v>
      </c>
      <c r="C10" s="10" t="n">
        <v>-1.01</v>
      </c>
      <c r="D10" s="10" t="n">
        <v>2.41</v>
      </c>
      <c r="E10" s="10" t="n">
        <v>8.490000000000002</v>
      </c>
      <c r="F10" s="10" t="n">
        <v>13.45665</v>
      </c>
      <c r="G10" s="10" t="n">
        <v>1.65</v>
      </c>
      <c r="H10" s="10" t="n">
        <v>8.648849634488972</v>
      </c>
    </row>
    <row r="11">
      <c r="A11" s="13" t="inlineStr"/>
      <c r="B11" s="10" t="n">
        <v>70.52</v>
      </c>
      <c r="C11" s="10" t="n">
        <v>-2.11</v>
      </c>
      <c r="D11" s="10" t="n">
        <v>3.51</v>
      </c>
      <c r="E11" s="10" t="n">
        <v>10.52</v>
      </c>
      <c r="F11" s="10" t="n">
        <v>31.13919999999999</v>
      </c>
      <c r="G11" s="10" t="n">
        <v>1.1</v>
      </c>
      <c r="H11" s="10" t="n">
        <v>10.57735316608082</v>
      </c>
    </row>
    <row r="12">
      <c r="A12" s="13" t="inlineStr"/>
      <c r="B12" s="10" t="n">
        <v>80</v>
      </c>
      <c r="C12" s="10" t="n">
        <v>-2.59</v>
      </c>
      <c r="D12" s="10" t="n">
        <v>3.99</v>
      </c>
      <c r="E12" s="10" t="n">
        <v>9.480000000000004</v>
      </c>
      <c r="F12" s="10" t="n">
        <v>35.55000000000001</v>
      </c>
      <c r="G12" s="10" t="n">
        <v>0.48</v>
      </c>
      <c r="H12" s="10" t="n">
        <v>9.49214412027125</v>
      </c>
    </row>
    <row r="13">
      <c r="A13" s="13" t="inlineStr"/>
      <c r="B13" s="10" t="n">
        <v>100</v>
      </c>
      <c r="C13" s="10" t="n">
        <v>-2.1</v>
      </c>
      <c r="D13" s="10" t="n">
        <v>3.5</v>
      </c>
      <c r="E13" s="10" t="n">
        <v>20</v>
      </c>
      <c r="F13" s="10" t="n">
        <v>74.90000000000001</v>
      </c>
      <c r="G13" s="10" t="n">
        <v>-0.4899999999999998</v>
      </c>
      <c r="H13" s="10" t="n">
        <v>20.00600159952008</v>
      </c>
    </row>
    <row r="14">
      <c r="A14" s="13" t="inlineStr"/>
      <c r="B14" s="10" t="n">
        <v>120</v>
      </c>
      <c r="C14" s="10" t="n">
        <v>-3.26</v>
      </c>
      <c r="D14" s="10" t="n">
        <v>4.66</v>
      </c>
      <c r="E14" s="10" t="n">
        <v>20</v>
      </c>
      <c r="F14" s="10" t="n">
        <v>81.59999999999999</v>
      </c>
      <c r="G14" s="10" t="n">
        <v>1.16</v>
      </c>
      <c r="H14" s="10" t="n">
        <v>20.03361175624605</v>
      </c>
    </row>
    <row r="15">
      <c r="A15" s="13" t="inlineStr"/>
      <c r="B15" s="10" t="n">
        <v>140</v>
      </c>
      <c r="C15" s="10" t="n">
        <v>-4.039999999999999</v>
      </c>
      <c r="D15" s="10" t="n">
        <v>5.44</v>
      </c>
      <c r="E15" s="10" t="n">
        <v>20</v>
      </c>
      <c r="F15" s="10" t="n">
        <v>101</v>
      </c>
      <c r="G15" s="10" t="n">
        <v>0.7799999999999994</v>
      </c>
      <c r="H15" s="10" t="n">
        <v>20.01520422079175</v>
      </c>
    </row>
    <row r="16">
      <c r="A16" s="13" t="inlineStr"/>
      <c r="B16" s="10" t="n">
        <v>160</v>
      </c>
      <c r="C16" s="10" t="n">
        <v>-4.129999999999999</v>
      </c>
      <c r="D16" s="10" t="n">
        <v>5.529999999999999</v>
      </c>
      <c r="E16" s="10" t="n">
        <v>20</v>
      </c>
      <c r="F16" s="10" t="n">
        <v>109.7</v>
      </c>
      <c r="G16" s="10" t="n">
        <v>0.08999999999999986</v>
      </c>
      <c r="H16" s="10" t="n">
        <v>20.00020249897485</v>
      </c>
    </row>
    <row r="17">
      <c r="A17" s="13" t="inlineStr"/>
      <c r="B17" s="10" t="n">
        <v>180</v>
      </c>
      <c r="C17" s="10" t="n">
        <v>-3.87</v>
      </c>
      <c r="D17" s="10" t="n">
        <v>5.27</v>
      </c>
      <c r="E17" s="10" t="n">
        <v>20</v>
      </c>
      <c r="F17" s="10" t="n">
        <v>108</v>
      </c>
      <c r="G17" s="10" t="n">
        <v>-0.2599999999999998</v>
      </c>
      <c r="H17" s="10" t="n">
        <v>20.00168992860353</v>
      </c>
    </row>
    <row r="18">
      <c r="A18" s="13" t="inlineStr"/>
      <c r="B18" s="10" t="n">
        <v>200</v>
      </c>
      <c r="C18" s="10" t="n">
        <v>-4.09</v>
      </c>
      <c r="D18" s="10" t="n">
        <v>5.49</v>
      </c>
      <c r="E18" s="10" t="n">
        <v>20</v>
      </c>
      <c r="F18" s="10" t="n">
        <v>107.6</v>
      </c>
      <c r="G18" s="10" t="n">
        <v>0.2200000000000006</v>
      </c>
      <c r="H18" s="10" t="n">
        <v>20.00120996339971</v>
      </c>
    </row>
    <row r="19">
      <c r="A19" s="13" t="inlineStr"/>
      <c r="B19" s="10" t="n">
        <v>220</v>
      </c>
      <c r="C19" s="10" t="n">
        <v>-4.25</v>
      </c>
      <c r="D19" s="10" t="n">
        <v>5.65</v>
      </c>
      <c r="E19" s="10" t="n">
        <v>20</v>
      </c>
      <c r="F19" s="10" t="n">
        <v>111.4</v>
      </c>
      <c r="G19" s="10" t="n">
        <v>0.1600000000000001</v>
      </c>
      <c r="H19" s="10" t="n">
        <v>20.00063998976033</v>
      </c>
    </row>
    <row r="20">
      <c r="A20" s="13" t="inlineStr"/>
      <c r="B20" s="10" t="n">
        <v>240</v>
      </c>
      <c r="C20" s="10" t="n">
        <v>-3.72</v>
      </c>
      <c r="D20" s="10" t="n">
        <v>5.12</v>
      </c>
      <c r="E20" s="10" t="n">
        <v>20</v>
      </c>
      <c r="F20" s="10" t="n">
        <v>107.7</v>
      </c>
      <c r="G20" s="10" t="n">
        <v>-0.5300000000000002</v>
      </c>
      <c r="H20" s="10" t="n">
        <v>20.00702126754505</v>
      </c>
    </row>
    <row r="21">
      <c r="A21" s="13" t="inlineStr"/>
      <c r="B21" s="10" t="n">
        <v>260</v>
      </c>
      <c r="C21" s="10" t="n">
        <v>-3.45</v>
      </c>
      <c r="D21" s="10" t="n">
        <v>4.85</v>
      </c>
      <c r="E21" s="10" t="n">
        <v>20</v>
      </c>
      <c r="F21" s="10" t="n">
        <v>99.69999999999999</v>
      </c>
      <c r="G21" s="10" t="n">
        <v>-0.2700000000000005</v>
      </c>
      <c r="H21" s="10" t="n">
        <v>20.00182241696991</v>
      </c>
    </row>
    <row r="22">
      <c r="A22" s="13" t="inlineStr"/>
      <c r="B22" s="10" t="n">
        <v>280</v>
      </c>
      <c r="C22" s="10" t="n">
        <v>-3.580000000000001</v>
      </c>
      <c r="D22" s="10" t="n">
        <v>4.98</v>
      </c>
      <c r="E22" s="10" t="n">
        <v>20</v>
      </c>
      <c r="F22" s="10" t="n">
        <v>98.3</v>
      </c>
      <c r="G22" s="10" t="n">
        <v>0.1300000000000008</v>
      </c>
      <c r="H22" s="10" t="n">
        <v>20.00042249553744</v>
      </c>
    </row>
    <row r="23">
      <c r="A23" s="13" t="inlineStr"/>
      <c r="B23" s="10" t="n">
        <v>300</v>
      </c>
      <c r="C23" s="10" t="n">
        <v>-2.89</v>
      </c>
      <c r="D23" s="10" t="n">
        <v>4.29</v>
      </c>
      <c r="E23" s="10" t="n">
        <v>20</v>
      </c>
      <c r="F23" s="10" t="n">
        <v>92.69999999999999</v>
      </c>
      <c r="G23" s="10" t="n">
        <v>-0.6900000000000004</v>
      </c>
      <c r="H23" s="10" t="n">
        <v>20.01189896036855</v>
      </c>
    </row>
    <row r="24">
      <c r="A24" s="13" t="inlineStr"/>
      <c r="B24" s="10" t="n">
        <v>314.06</v>
      </c>
      <c r="C24" s="10" t="n">
        <v>-2.81</v>
      </c>
      <c r="D24" s="10" t="n">
        <v>4.21</v>
      </c>
      <c r="E24" s="10" t="n">
        <v>14.06</v>
      </c>
      <c r="F24" s="10" t="n">
        <v>59.75500000000001</v>
      </c>
      <c r="G24" s="10" t="n">
        <v>-0.08000000000000007</v>
      </c>
      <c r="H24" s="10" t="n">
        <v>14.060227594175</v>
      </c>
    </row>
    <row r="25">
      <c r="A25" s="13" t="inlineStr"/>
      <c r="B25" s="10" t="n">
        <v>320</v>
      </c>
      <c r="C25" s="10" t="n">
        <v>-1.5</v>
      </c>
      <c r="D25" s="10" t="n">
        <v>2.9</v>
      </c>
      <c r="E25" s="10" t="n">
        <v>5.939999999999998</v>
      </c>
      <c r="F25" s="10" t="n">
        <v>21.11669999999999</v>
      </c>
      <c r="G25" s="10" t="n">
        <v>-1.31</v>
      </c>
      <c r="H25" s="10" t="n">
        <v>6.082737870400135</v>
      </c>
    </row>
    <row r="26">
      <c r="A26" s="13" t="inlineStr"/>
      <c r="B26" s="10" t="n">
        <v>332.31</v>
      </c>
      <c r="C26" s="10" t="n">
        <v>-0.1899999999999999</v>
      </c>
      <c r="D26" s="10" t="n">
        <v>1.59</v>
      </c>
      <c r="E26" s="10" t="n">
        <v>12.31</v>
      </c>
      <c r="F26" s="10" t="n">
        <v>27.63595</v>
      </c>
      <c r="G26" s="10" t="n">
        <v>-1.31</v>
      </c>
      <c r="H26" s="10" t="n">
        <v>12.37950725998414</v>
      </c>
    </row>
    <row r="27">
      <c r="A27" s="13" t="inlineStr"/>
      <c r="B27" s="10" t="n">
        <v>335.3035185185186</v>
      </c>
      <c r="C27" s="10" t="n">
        <v>1.4</v>
      </c>
      <c r="D27" s="10" t="n">
        <v>0</v>
      </c>
      <c r="E27" s="10" t="n">
        <v>2.993518518518556</v>
      </c>
      <c r="F27" s="10" t="n">
        <v>2.379847222222252</v>
      </c>
      <c r="G27" s="10" t="n">
        <v>-1.59</v>
      </c>
      <c r="H27" s="10" t="n">
        <v>3.389580080292178</v>
      </c>
    </row>
    <row r="28">
      <c r="A28" s="14" t="inlineStr">
        <is>
          <t>Tổng cộng dòng chủ</t>
        </is>
      </c>
      <c r="B28" s="15" t="n"/>
      <c r="C28" s="15" t="n"/>
      <c r="D28" s="15" t="n"/>
      <c r="E28" s="15" t="n">
        <v>284.6435185185185</v>
      </c>
      <c r="F28" s="15" t="n">
        <v>1283.990347222222</v>
      </c>
      <c r="G28" s="15" t="n">
        <v>-0.08000000000000007</v>
      </c>
      <c r="H28" s="15" t="n">
        <v>285.7986559437733</v>
      </c>
    </row>
    <row r="29">
      <c r="A29" s="14" t="inlineStr">
        <is>
          <t>Tổng cộng bãi phải</t>
        </is>
      </c>
      <c r="B29" s="15" t="n"/>
      <c r="C29" s="15" t="n"/>
      <c r="D29" s="15" t="n"/>
      <c r="E29" s="15" t="n">
        <v>0</v>
      </c>
      <c r="F29" s="15" t="n">
        <v>0</v>
      </c>
      <c r="G29" s="15" t="n">
        <v>0</v>
      </c>
      <c r="H29" s="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H9 = 1.10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50.935</v>
      </c>
      <c r="C6" s="10" t="n">
        <v>1.1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51.51</v>
      </c>
      <c r="C7" s="10" t="n">
        <v>0.64</v>
      </c>
      <c r="D7" s="10" t="n">
        <v>0.4600000000000001</v>
      </c>
      <c r="E7" s="10" t="n">
        <v>0.5750000000000028</v>
      </c>
      <c r="F7" s="10" t="n">
        <v>0.1322500000000007</v>
      </c>
      <c r="G7" s="10" t="n">
        <v>0.4600000000000001</v>
      </c>
      <c r="H7" s="10" t="n">
        <v>0.7363592873047798</v>
      </c>
    </row>
    <row r="8">
      <c r="A8" s="13" t="inlineStr"/>
      <c r="B8" s="10" t="n">
        <v>60</v>
      </c>
      <c r="C8" s="10" t="n">
        <v>-1.01</v>
      </c>
      <c r="D8" s="10" t="n">
        <v>2.11</v>
      </c>
      <c r="E8" s="10" t="n">
        <v>8.490000000000002</v>
      </c>
      <c r="F8" s="10" t="n">
        <v>10.90965</v>
      </c>
      <c r="G8" s="10" t="n">
        <v>1.65</v>
      </c>
      <c r="H8" s="10" t="n">
        <v>8.648849634488972</v>
      </c>
    </row>
    <row r="9">
      <c r="A9" s="13" t="inlineStr"/>
      <c r="B9" s="10" t="n">
        <v>70.52</v>
      </c>
      <c r="C9" s="10" t="n">
        <v>-2.11</v>
      </c>
      <c r="D9" s="10" t="n">
        <v>3.21</v>
      </c>
      <c r="E9" s="10" t="n">
        <v>10.52</v>
      </c>
      <c r="F9" s="10" t="n">
        <v>27.98319999999999</v>
      </c>
      <c r="G9" s="10" t="n">
        <v>1.1</v>
      </c>
      <c r="H9" s="10" t="n">
        <v>10.57735316608082</v>
      </c>
    </row>
    <row r="10">
      <c r="A10" s="13" t="inlineStr"/>
      <c r="B10" s="10" t="n">
        <v>80</v>
      </c>
      <c r="C10" s="10" t="n">
        <v>-2.59</v>
      </c>
      <c r="D10" s="10" t="n">
        <v>3.69</v>
      </c>
      <c r="E10" s="10" t="n">
        <v>9.480000000000004</v>
      </c>
      <c r="F10" s="10" t="n">
        <v>32.70600000000002</v>
      </c>
      <c r="G10" s="10" t="n">
        <v>0.48</v>
      </c>
      <c r="H10" s="10" t="n">
        <v>9.49214412027125</v>
      </c>
    </row>
    <row r="11">
      <c r="A11" s="13" t="inlineStr"/>
      <c r="B11" s="10" t="n">
        <v>100</v>
      </c>
      <c r="C11" s="10" t="n">
        <v>-2.1</v>
      </c>
      <c r="D11" s="10" t="n">
        <v>3.2</v>
      </c>
      <c r="E11" s="10" t="n">
        <v>20</v>
      </c>
      <c r="F11" s="10" t="n">
        <v>68.90000000000001</v>
      </c>
      <c r="G11" s="10" t="n">
        <v>-0.4899999999999998</v>
      </c>
      <c r="H11" s="10" t="n">
        <v>20.00600159952008</v>
      </c>
    </row>
    <row r="12">
      <c r="A12" s="13" t="inlineStr"/>
      <c r="B12" s="10" t="n">
        <v>120</v>
      </c>
      <c r="C12" s="10" t="n">
        <v>-3.259999999999999</v>
      </c>
      <c r="D12" s="10" t="n">
        <v>4.359999999999999</v>
      </c>
      <c r="E12" s="10" t="n">
        <v>20</v>
      </c>
      <c r="F12" s="10" t="n">
        <v>75.59999999999999</v>
      </c>
      <c r="G12" s="10" t="n">
        <v>1.159999999999999</v>
      </c>
      <c r="H12" s="10" t="n">
        <v>20.03361175624605</v>
      </c>
    </row>
    <row r="13">
      <c r="A13" s="13" t="inlineStr"/>
      <c r="B13" s="10" t="n">
        <v>140</v>
      </c>
      <c r="C13" s="10" t="n">
        <v>-4.040000000000001</v>
      </c>
      <c r="D13" s="10" t="n">
        <v>5.140000000000001</v>
      </c>
      <c r="E13" s="10" t="n">
        <v>20</v>
      </c>
      <c r="F13" s="10" t="n">
        <v>95</v>
      </c>
      <c r="G13" s="10" t="n">
        <v>0.7800000000000011</v>
      </c>
      <c r="H13" s="10" t="n">
        <v>20.01520422079175</v>
      </c>
    </row>
    <row r="14">
      <c r="A14" s="13" t="inlineStr"/>
      <c r="B14" s="10" t="n">
        <v>160</v>
      </c>
      <c r="C14" s="10" t="n">
        <v>-4.130000000000001</v>
      </c>
      <c r="D14" s="10" t="n">
        <v>5.23</v>
      </c>
      <c r="E14" s="10" t="n">
        <v>20</v>
      </c>
      <c r="F14" s="10" t="n">
        <v>103.7</v>
      </c>
      <c r="G14" s="10" t="n">
        <v>0.08999999999999986</v>
      </c>
      <c r="H14" s="10" t="n">
        <v>20.00020249897485</v>
      </c>
    </row>
    <row r="15">
      <c r="A15" s="13" t="inlineStr"/>
      <c r="B15" s="10" t="n">
        <v>180</v>
      </c>
      <c r="C15" s="10" t="n">
        <v>-3.870000000000001</v>
      </c>
      <c r="D15" s="10" t="n">
        <v>4.970000000000001</v>
      </c>
      <c r="E15" s="10" t="n">
        <v>20</v>
      </c>
      <c r="F15" s="10" t="n">
        <v>102</v>
      </c>
      <c r="G15" s="10" t="n">
        <v>-0.2599999999999998</v>
      </c>
      <c r="H15" s="10" t="n">
        <v>20.00168992860353</v>
      </c>
    </row>
    <row r="16">
      <c r="A16" s="13" t="inlineStr"/>
      <c r="B16" s="10" t="n">
        <v>200</v>
      </c>
      <c r="C16" s="10" t="n">
        <v>-4.09</v>
      </c>
      <c r="D16" s="10" t="n">
        <v>5.19</v>
      </c>
      <c r="E16" s="10" t="n">
        <v>20</v>
      </c>
      <c r="F16" s="10" t="n">
        <v>101.6</v>
      </c>
      <c r="G16" s="10" t="n">
        <v>0.2199999999999989</v>
      </c>
      <c r="H16" s="10" t="n">
        <v>20.00120996339971</v>
      </c>
    </row>
    <row r="17">
      <c r="A17" s="13" t="inlineStr"/>
      <c r="B17" s="10" t="n">
        <v>220</v>
      </c>
      <c r="C17" s="10" t="n">
        <v>-4.25</v>
      </c>
      <c r="D17" s="10" t="n">
        <v>5.35</v>
      </c>
      <c r="E17" s="10" t="n">
        <v>20</v>
      </c>
      <c r="F17" s="10" t="n">
        <v>105.4</v>
      </c>
      <c r="G17" s="10" t="n">
        <v>0.1600000000000001</v>
      </c>
      <c r="H17" s="10" t="n">
        <v>20.00063998976033</v>
      </c>
    </row>
    <row r="18">
      <c r="A18" s="13" t="inlineStr"/>
      <c r="B18" s="10" t="n">
        <v>240</v>
      </c>
      <c r="C18" s="10" t="n">
        <v>-3.72</v>
      </c>
      <c r="D18" s="10" t="n">
        <v>4.82</v>
      </c>
      <c r="E18" s="10" t="n">
        <v>20</v>
      </c>
      <c r="F18" s="10" t="n">
        <v>101.7</v>
      </c>
      <c r="G18" s="10" t="n">
        <v>-0.5299999999999994</v>
      </c>
      <c r="H18" s="10" t="n">
        <v>20.00702126754505</v>
      </c>
    </row>
    <row r="19">
      <c r="A19" s="13" t="inlineStr"/>
      <c r="B19" s="10" t="n">
        <v>260</v>
      </c>
      <c r="C19" s="10" t="n">
        <v>-3.450000000000001</v>
      </c>
      <c r="D19" s="10" t="n">
        <v>4.550000000000001</v>
      </c>
      <c r="E19" s="10" t="n">
        <v>20</v>
      </c>
      <c r="F19" s="10" t="n">
        <v>93.70000000000002</v>
      </c>
      <c r="G19" s="10" t="n">
        <v>-0.2699999999999996</v>
      </c>
      <c r="H19" s="10" t="n">
        <v>20.00182241696991</v>
      </c>
    </row>
    <row r="20">
      <c r="A20" s="13" t="inlineStr"/>
      <c r="B20" s="10" t="n">
        <v>280</v>
      </c>
      <c r="C20" s="10" t="n">
        <v>-3.58</v>
      </c>
      <c r="D20" s="10" t="n">
        <v>4.68</v>
      </c>
      <c r="E20" s="10" t="n">
        <v>20</v>
      </c>
      <c r="F20" s="10" t="n">
        <v>92.30000000000001</v>
      </c>
      <c r="G20" s="10" t="n">
        <v>0.129999999999999</v>
      </c>
      <c r="H20" s="10" t="n">
        <v>20.00042249553744</v>
      </c>
    </row>
    <row r="21">
      <c r="A21" s="13" t="inlineStr"/>
      <c r="B21" s="10" t="n">
        <v>300</v>
      </c>
      <c r="C21" s="10" t="n">
        <v>-2.89</v>
      </c>
      <c r="D21" s="10" t="n">
        <v>3.99</v>
      </c>
      <c r="E21" s="10" t="n">
        <v>20</v>
      </c>
      <c r="F21" s="10" t="n">
        <v>86.7</v>
      </c>
      <c r="G21" s="10" t="n">
        <v>-0.6899999999999995</v>
      </c>
      <c r="H21" s="10" t="n">
        <v>20.01189896036855</v>
      </c>
    </row>
    <row r="22">
      <c r="A22" s="13" t="inlineStr"/>
      <c r="B22" s="10" t="n">
        <v>314.06</v>
      </c>
      <c r="C22" s="10" t="n">
        <v>-2.81</v>
      </c>
      <c r="D22" s="10" t="n">
        <v>3.91</v>
      </c>
      <c r="E22" s="10" t="n">
        <v>14.06</v>
      </c>
      <c r="F22" s="10" t="n">
        <v>55.53700000000001</v>
      </c>
      <c r="G22" s="10" t="n">
        <v>-0.08000000000000007</v>
      </c>
      <c r="H22" s="10" t="n">
        <v>14.060227594175</v>
      </c>
    </row>
    <row r="23">
      <c r="A23" s="13" t="inlineStr"/>
      <c r="B23" s="10" t="n">
        <v>320</v>
      </c>
      <c r="C23" s="10" t="n">
        <v>-1.5</v>
      </c>
      <c r="D23" s="10" t="n">
        <v>2.6</v>
      </c>
      <c r="E23" s="10" t="n">
        <v>5.939999999999998</v>
      </c>
      <c r="F23" s="10" t="n">
        <v>19.33469999999999</v>
      </c>
      <c r="G23" s="10" t="n">
        <v>-1.31</v>
      </c>
      <c r="H23" s="10" t="n">
        <v>6.082737870400135</v>
      </c>
    </row>
    <row r="24">
      <c r="A24" s="13" t="inlineStr"/>
      <c r="B24" s="10" t="n">
        <v>332.31</v>
      </c>
      <c r="C24" s="10" t="n">
        <v>-0.1899999999999999</v>
      </c>
      <c r="D24" s="10" t="n">
        <v>1.29</v>
      </c>
      <c r="E24" s="10" t="n">
        <v>12.31</v>
      </c>
      <c r="F24" s="10" t="n">
        <v>23.94295000000001</v>
      </c>
      <c r="G24" s="10" t="n">
        <v>-1.31</v>
      </c>
      <c r="H24" s="10" t="n">
        <v>12.37950725998414</v>
      </c>
    </row>
    <row r="25">
      <c r="A25" s="13" t="inlineStr"/>
      <c r="B25" s="10" t="n">
        <v>334.7387037037037</v>
      </c>
      <c r="C25" s="10" t="n">
        <v>1.1</v>
      </c>
      <c r="D25" s="10" t="n">
        <v>0</v>
      </c>
      <c r="E25" s="10" t="n">
        <v>2.428703703703718</v>
      </c>
      <c r="F25" s="10" t="n">
        <v>1.566513888888898</v>
      </c>
      <c r="G25" s="10" t="n">
        <v>-1.29</v>
      </c>
      <c r="H25" s="10" t="n">
        <v>2.750036668916282</v>
      </c>
    </row>
    <row r="26">
      <c r="A26" s="14" t="inlineStr">
        <is>
          <t>Tổng cộng dòng chủ</t>
        </is>
      </c>
      <c r="B26" s="15" t="n"/>
      <c r="C26" s="15" t="n"/>
      <c r="D26" s="15" t="n"/>
      <c r="E26" s="15" t="n">
        <v>283.8037037037037</v>
      </c>
      <c r="F26" s="15" t="n">
        <v>1198.712263888889</v>
      </c>
      <c r="G26" s="15" t="n">
        <v>0</v>
      </c>
      <c r="H26" s="15" t="n">
        <v>284.8069406993386</v>
      </c>
    </row>
    <row r="27">
      <c r="A27" s="14" t="inlineStr">
        <is>
          <t>Tổng cộng bãi phải</t>
        </is>
      </c>
      <c r="B27" s="15" t="n"/>
      <c r="C27" s="15" t="n"/>
      <c r="D27" s="15" t="n"/>
      <c r="E27" s="15" t="n">
        <v>0</v>
      </c>
      <c r="F27" s="15" t="n">
        <v>0</v>
      </c>
      <c r="G27" s="15" t="n">
        <v>0</v>
      </c>
      <c r="H27" s="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H10 = 0.80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51.31</v>
      </c>
      <c r="C6" s="10" t="n">
        <v>0.8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51.51</v>
      </c>
      <c r="C7" s="10" t="n">
        <v>0.64</v>
      </c>
      <c r="D7" s="10" t="n">
        <v>0.16</v>
      </c>
      <c r="E7" s="10" t="n">
        <v>0.2000000000000028</v>
      </c>
      <c r="F7" s="10" t="n">
        <v>0.01600000000000023</v>
      </c>
      <c r="G7" s="10" t="n">
        <v>0.16</v>
      </c>
      <c r="H7" s="10" t="n">
        <v>0.2561249694973162</v>
      </c>
    </row>
    <row r="8">
      <c r="A8" s="13" t="inlineStr"/>
      <c r="B8" s="10" t="n">
        <v>60</v>
      </c>
      <c r="C8" s="10" t="n">
        <v>-1.01</v>
      </c>
      <c r="D8" s="10" t="n">
        <v>1.81</v>
      </c>
      <c r="E8" s="10" t="n">
        <v>8.490000000000002</v>
      </c>
      <c r="F8" s="10" t="n">
        <v>8.362650000000002</v>
      </c>
      <c r="G8" s="10" t="n">
        <v>1.65</v>
      </c>
      <c r="H8" s="10" t="n">
        <v>8.648849634488972</v>
      </c>
    </row>
    <row r="9">
      <c r="A9" s="13" t="inlineStr"/>
      <c r="B9" s="10" t="n">
        <v>70.52</v>
      </c>
      <c r="C9" s="10" t="n">
        <v>-2.11</v>
      </c>
      <c r="D9" s="10" t="n">
        <v>2.91</v>
      </c>
      <c r="E9" s="10" t="n">
        <v>10.52</v>
      </c>
      <c r="F9" s="10" t="n">
        <v>24.82719999999999</v>
      </c>
      <c r="G9" s="10" t="n">
        <v>1.1</v>
      </c>
      <c r="H9" s="10" t="n">
        <v>10.57735316608082</v>
      </c>
    </row>
    <row r="10">
      <c r="A10" s="13" t="inlineStr"/>
      <c r="B10" s="10" t="n">
        <v>80</v>
      </c>
      <c r="C10" s="10" t="n">
        <v>-2.59</v>
      </c>
      <c r="D10" s="10" t="n">
        <v>3.39</v>
      </c>
      <c r="E10" s="10" t="n">
        <v>9.480000000000004</v>
      </c>
      <c r="F10" s="10" t="n">
        <v>29.86200000000001</v>
      </c>
      <c r="G10" s="10" t="n">
        <v>0.4799999999999995</v>
      </c>
      <c r="H10" s="10" t="n">
        <v>9.49214412027125</v>
      </c>
    </row>
    <row r="11">
      <c r="A11" s="13" t="inlineStr"/>
      <c r="B11" s="10" t="n">
        <v>100</v>
      </c>
      <c r="C11" s="10" t="n">
        <v>-2.100000000000001</v>
      </c>
      <c r="D11" s="10" t="n">
        <v>2.9</v>
      </c>
      <c r="E11" s="10" t="n">
        <v>20</v>
      </c>
      <c r="F11" s="10" t="n">
        <v>62.9</v>
      </c>
      <c r="G11" s="10" t="n">
        <v>-0.4899999999999993</v>
      </c>
      <c r="H11" s="10" t="n">
        <v>20.00600159952008</v>
      </c>
    </row>
    <row r="12">
      <c r="A12" s="13" t="inlineStr"/>
      <c r="B12" s="10" t="n">
        <v>120</v>
      </c>
      <c r="C12" s="10" t="n">
        <v>-3.26</v>
      </c>
      <c r="D12" s="10" t="n">
        <v>4.06</v>
      </c>
      <c r="E12" s="10" t="n">
        <v>20</v>
      </c>
      <c r="F12" s="10" t="n">
        <v>69.59999999999999</v>
      </c>
      <c r="G12" s="10" t="n">
        <v>1.159999999999999</v>
      </c>
      <c r="H12" s="10" t="n">
        <v>20.03361175624605</v>
      </c>
    </row>
    <row r="13">
      <c r="A13" s="13" t="inlineStr"/>
      <c r="B13" s="10" t="n">
        <v>140</v>
      </c>
      <c r="C13" s="10" t="n">
        <v>-4.04</v>
      </c>
      <c r="D13" s="10" t="n">
        <v>4.84</v>
      </c>
      <c r="E13" s="10" t="n">
        <v>20</v>
      </c>
      <c r="F13" s="10" t="n">
        <v>88.99999999999999</v>
      </c>
      <c r="G13" s="10" t="n">
        <v>0.7800000000000002</v>
      </c>
      <c r="H13" s="10" t="n">
        <v>20.01520422079175</v>
      </c>
    </row>
    <row r="14">
      <c r="A14" s="13" t="inlineStr"/>
      <c r="B14" s="10" t="n">
        <v>160</v>
      </c>
      <c r="C14" s="10" t="n">
        <v>-4.13</v>
      </c>
      <c r="D14" s="10" t="n">
        <v>4.93</v>
      </c>
      <c r="E14" s="10" t="n">
        <v>20</v>
      </c>
      <c r="F14" s="10" t="n">
        <v>97.69999999999999</v>
      </c>
      <c r="G14" s="10" t="n">
        <v>0.08999999999999986</v>
      </c>
      <c r="H14" s="10" t="n">
        <v>20.00020249897485</v>
      </c>
    </row>
    <row r="15">
      <c r="A15" s="13" t="inlineStr"/>
      <c r="B15" s="10" t="n">
        <v>180</v>
      </c>
      <c r="C15" s="10" t="n">
        <v>-3.87</v>
      </c>
      <c r="D15" s="10" t="n">
        <v>4.67</v>
      </c>
      <c r="E15" s="10" t="n">
        <v>20</v>
      </c>
      <c r="F15" s="10" t="n">
        <v>96</v>
      </c>
      <c r="G15" s="10" t="n">
        <v>-0.2599999999999998</v>
      </c>
      <c r="H15" s="10" t="n">
        <v>20.00168992860353</v>
      </c>
    </row>
    <row r="16">
      <c r="A16" s="13" t="inlineStr"/>
      <c r="B16" s="10" t="n">
        <v>200</v>
      </c>
      <c r="C16" s="10" t="n">
        <v>-4.09</v>
      </c>
      <c r="D16" s="10" t="n">
        <v>4.89</v>
      </c>
      <c r="E16" s="10" t="n">
        <v>20</v>
      </c>
      <c r="F16" s="10" t="n">
        <v>95.59999999999999</v>
      </c>
      <c r="G16" s="10" t="n">
        <v>0.2199999999999998</v>
      </c>
      <c r="H16" s="10" t="n">
        <v>20.00120996339971</v>
      </c>
    </row>
    <row r="17">
      <c r="A17" s="13" t="inlineStr"/>
      <c r="B17" s="10" t="n">
        <v>220</v>
      </c>
      <c r="C17" s="10" t="n">
        <v>-4.25</v>
      </c>
      <c r="D17" s="10" t="n">
        <v>5.05</v>
      </c>
      <c r="E17" s="10" t="n">
        <v>20</v>
      </c>
      <c r="F17" s="10" t="n">
        <v>99.39999999999999</v>
      </c>
      <c r="G17" s="10" t="n">
        <v>0.1600000000000001</v>
      </c>
      <c r="H17" s="10" t="n">
        <v>20.00063998976033</v>
      </c>
    </row>
    <row r="18">
      <c r="A18" s="13" t="inlineStr"/>
      <c r="B18" s="10" t="n">
        <v>240</v>
      </c>
      <c r="C18" s="10" t="n">
        <v>-3.720000000000001</v>
      </c>
      <c r="D18" s="10" t="n">
        <v>4.52</v>
      </c>
      <c r="E18" s="10" t="n">
        <v>20</v>
      </c>
      <c r="F18" s="10" t="n">
        <v>95.7</v>
      </c>
      <c r="G18" s="10" t="n">
        <v>-0.5299999999999994</v>
      </c>
      <c r="H18" s="10" t="n">
        <v>20.00702126754505</v>
      </c>
    </row>
    <row r="19">
      <c r="A19" s="13" t="inlineStr"/>
      <c r="B19" s="10" t="n">
        <v>260</v>
      </c>
      <c r="C19" s="10" t="n">
        <v>-3.45</v>
      </c>
      <c r="D19" s="10" t="n">
        <v>4.25</v>
      </c>
      <c r="E19" s="10" t="n">
        <v>20</v>
      </c>
      <c r="F19" s="10" t="n">
        <v>87.69999999999999</v>
      </c>
      <c r="G19" s="10" t="n">
        <v>-0.2700000000000005</v>
      </c>
      <c r="H19" s="10" t="n">
        <v>20.00182241696991</v>
      </c>
    </row>
    <row r="20">
      <c r="A20" s="13" t="inlineStr"/>
      <c r="B20" s="10" t="n">
        <v>280</v>
      </c>
      <c r="C20" s="10" t="n">
        <v>-3.58</v>
      </c>
      <c r="D20" s="10" t="n">
        <v>4.38</v>
      </c>
      <c r="E20" s="10" t="n">
        <v>20</v>
      </c>
      <c r="F20" s="10" t="n">
        <v>86.29999999999998</v>
      </c>
      <c r="G20" s="10" t="n">
        <v>0.1299999999999999</v>
      </c>
      <c r="H20" s="10" t="n">
        <v>20.00042249553744</v>
      </c>
    </row>
    <row r="21">
      <c r="A21" s="13" t="inlineStr"/>
      <c r="B21" s="10" t="n">
        <v>300</v>
      </c>
      <c r="C21" s="10" t="n">
        <v>-2.890000000000001</v>
      </c>
      <c r="D21" s="10" t="n">
        <v>3.69</v>
      </c>
      <c r="E21" s="10" t="n">
        <v>20</v>
      </c>
      <c r="F21" s="10" t="n">
        <v>80.7</v>
      </c>
      <c r="G21" s="10" t="n">
        <v>-0.6899999999999995</v>
      </c>
      <c r="H21" s="10" t="n">
        <v>20.01189896036855</v>
      </c>
    </row>
    <row r="22">
      <c r="A22" s="13" t="inlineStr"/>
      <c r="B22" s="10" t="n">
        <v>314.06</v>
      </c>
      <c r="C22" s="10" t="n">
        <v>-2.81</v>
      </c>
      <c r="D22" s="10" t="n">
        <v>3.61</v>
      </c>
      <c r="E22" s="10" t="n">
        <v>14.06</v>
      </c>
      <c r="F22" s="10" t="n">
        <v>51.31900000000002</v>
      </c>
      <c r="G22" s="10" t="n">
        <v>-0.08000000000000007</v>
      </c>
      <c r="H22" s="10" t="n">
        <v>14.060227594175</v>
      </c>
    </row>
    <row r="23">
      <c r="A23" s="13" t="inlineStr"/>
      <c r="B23" s="10" t="n">
        <v>320</v>
      </c>
      <c r="C23" s="10" t="n">
        <v>-1.5</v>
      </c>
      <c r="D23" s="10" t="n">
        <v>2.3</v>
      </c>
      <c r="E23" s="10" t="n">
        <v>5.939999999999998</v>
      </c>
      <c r="F23" s="10" t="n">
        <v>17.55269999999999</v>
      </c>
      <c r="G23" s="10" t="n">
        <v>-1.31</v>
      </c>
      <c r="H23" s="10" t="n">
        <v>6.082737870400136</v>
      </c>
    </row>
    <row r="24">
      <c r="A24" s="13" t="inlineStr"/>
      <c r="B24" s="10" t="n">
        <v>332.31</v>
      </c>
      <c r="C24" s="10" t="n">
        <v>-0.1899999999999999</v>
      </c>
      <c r="D24" s="10" t="n">
        <v>0.99</v>
      </c>
      <c r="E24" s="10" t="n">
        <v>12.31</v>
      </c>
      <c r="F24" s="10" t="n">
        <v>20.24995000000001</v>
      </c>
      <c r="G24" s="10" t="n">
        <v>-1.31</v>
      </c>
      <c r="H24" s="10" t="n">
        <v>12.37950725998414</v>
      </c>
    </row>
    <row r="25">
      <c r="A25" s="13" t="inlineStr"/>
      <c r="B25" s="10" t="n">
        <v>334.1738888888889</v>
      </c>
      <c r="C25" s="10" t="n">
        <v>0.8</v>
      </c>
      <c r="D25" s="10" t="n">
        <v>0</v>
      </c>
      <c r="E25" s="10" t="n">
        <v>1.86388888888888</v>
      </c>
      <c r="F25" s="10" t="n">
        <v>0.9226249999999956</v>
      </c>
      <c r="G25" s="10" t="n">
        <v>-0.99</v>
      </c>
      <c r="H25" s="10" t="n">
        <v>2.110493257540385</v>
      </c>
    </row>
    <row r="26">
      <c r="A26" s="14" t="inlineStr">
        <is>
          <t>Tổng cộng dòng chủ</t>
        </is>
      </c>
      <c r="B26" s="15" t="n"/>
      <c r="C26" s="15" t="n"/>
      <c r="D26" s="15" t="n"/>
      <c r="E26" s="15" t="n">
        <v>282.8638888888889</v>
      </c>
      <c r="F26" s="15" t="n">
        <v>1113.712125</v>
      </c>
      <c r="G26" s="15" t="n">
        <v>0</v>
      </c>
      <c r="H26" s="15" t="n">
        <v>283.6871629701553</v>
      </c>
    </row>
    <row r="27">
      <c r="A27" s="14" t="inlineStr">
        <is>
          <t>Tổng cộng bãi phải</t>
        </is>
      </c>
      <c r="B27" s="15" t="n"/>
      <c r="C27" s="15" t="n"/>
      <c r="D27" s="15" t="n"/>
      <c r="E27" s="15" t="n">
        <v>0</v>
      </c>
      <c r="F27" s="15" t="n">
        <v>0</v>
      </c>
      <c r="G27" s="15" t="n">
        <v>0</v>
      </c>
      <c r="H27" s="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H11 = 0.50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52.23036363636363</v>
      </c>
      <c r="C6" s="10" t="n">
        <v>0.5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1.51</v>
      </c>
      <c r="E7" s="10" t="n">
        <v>7.769636363636366</v>
      </c>
      <c r="F7" s="10" t="n">
        <v>5.866075454545456</v>
      </c>
      <c r="G7" s="10" t="n">
        <v>1.51</v>
      </c>
      <c r="H7" s="10" t="n">
        <v>7.915007847320211</v>
      </c>
    </row>
    <row r="8">
      <c r="A8" s="13" t="inlineStr"/>
      <c r="B8" s="10" t="n">
        <v>70.52</v>
      </c>
      <c r="C8" s="10" t="n">
        <v>-2.11</v>
      </c>
      <c r="D8" s="10" t="n">
        <v>2.61</v>
      </c>
      <c r="E8" s="10" t="n">
        <v>10.52</v>
      </c>
      <c r="F8" s="10" t="n">
        <v>21.67119999999999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3.09</v>
      </c>
      <c r="E9" s="10" t="n">
        <v>9.480000000000004</v>
      </c>
      <c r="F9" s="10" t="n">
        <v>27.01800000000001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2.6</v>
      </c>
      <c r="E10" s="10" t="n">
        <v>20</v>
      </c>
      <c r="F10" s="10" t="n">
        <v>56.89999999999999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3.76</v>
      </c>
      <c r="E11" s="10" t="n">
        <v>20</v>
      </c>
      <c r="F11" s="10" t="n">
        <v>63.59999999999999</v>
      </c>
      <c r="G11" s="10" t="n">
        <v>1.16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4.54</v>
      </c>
      <c r="E12" s="10" t="n">
        <v>20</v>
      </c>
      <c r="F12" s="10" t="n">
        <v>83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4.63</v>
      </c>
      <c r="E13" s="10" t="n">
        <v>20</v>
      </c>
      <c r="F13" s="10" t="n">
        <v>91.7</v>
      </c>
      <c r="G13" s="10" t="n">
        <v>0.08999999999999986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4.37</v>
      </c>
      <c r="E14" s="10" t="n">
        <v>20</v>
      </c>
      <c r="F14" s="10" t="n">
        <v>90</v>
      </c>
      <c r="G14" s="10" t="n">
        <v>-0.2599999999999998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4.59</v>
      </c>
      <c r="E15" s="10" t="n">
        <v>20</v>
      </c>
      <c r="F15" s="10" t="n">
        <v>89.60000000000001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4.75</v>
      </c>
      <c r="E16" s="10" t="n">
        <v>20</v>
      </c>
      <c r="F16" s="10" t="n">
        <v>93.40000000000001</v>
      </c>
      <c r="G16" s="10" t="n">
        <v>0.1600000000000001</v>
      </c>
      <c r="H16" s="10" t="n">
        <v>20.00063998976033</v>
      </c>
    </row>
    <row r="17">
      <c r="A17" s="13" t="inlineStr"/>
      <c r="B17" s="10" t="n">
        <v>240</v>
      </c>
      <c r="C17" s="10" t="n">
        <v>-3.720000000000001</v>
      </c>
      <c r="D17" s="10" t="n">
        <v>4.220000000000001</v>
      </c>
      <c r="E17" s="10" t="n">
        <v>20</v>
      </c>
      <c r="F17" s="10" t="n">
        <v>89.7</v>
      </c>
      <c r="G17" s="10" t="n">
        <v>-0.5299999999999994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3.95</v>
      </c>
      <c r="E18" s="10" t="n">
        <v>20</v>
      </c>
      <c r="F18" s="10" t="n">
        <v>81.70000000000002</v>
      </c>
      <c r="G18" s="10" t="n">
        <v>-0.2700000000000005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4.08</v>
      </c>
      <c r="E19" s="10" t="n">
        <v>20</v>
      </c>
      <c r="F19" s="10" t="n">
        <v>80.30000000000001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</v>
      </c>
      <c r="D20" s="10" t="n">
        <v>3.39</v>
      </c>
      <c r="E20" s="10" t="n">
        <v>20</v>
      </c>
      <c r="F20" s="10" t="n">
        <v>74.7</v>
      </c>
      <c r="G20" s="10" t="n">
        <v>-0.6899999999999999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3.31</v>
      </c>
      <c r="E21" s="10" t="n">
        <v>14.06</v>
      </c>
      <c r="F21" s="10" t="n">
        <v>47.10100000000001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2</v>
      </c>
      <c r="E22" s="10" t="n">
        <v>5.939999999999998</v>
      </c>
      <c r="F22" s="10" t="n">
        <v>15.7707</v>
      </c>
      <c r="G22" s="10" t="n">
        <v>-1.31</v>
      </c>
      <c r="H22" s="10" t="n">
        <v>6.082737870400135</v>
      </c>
    </row>
    <row r="23">
      <c r="A23" s="13" t="inlineStr"/>
      <c r="B23" s="10" t="n">
        <v>332.31</v>
      </c>
      <c r="C23" s="10" t="n">
        <v>-0.1899999999999999</v>
      </c>
      <c r="D23" s="10" t="n">
        <v>0.6899999999999999</v>
      </c>
      <c r="E23" s="10" t="n">
        <v>12.31</v>
      </c>
      <c r="F23" s="10" t="n">
        <v>16.55695</v>
      </c>
      <c r="G23" s="10" t="n">
        <v>-1.31</v>
      </c>
      <c r="H23" s="10" t="n">
        <v>12.37950725998414</v>
      </c>
    </row>
    <row r="24">
      <c r="A24" s="13" t="inlineStr"/>
      <c r="B24" s="10" t="n">
        <v>333.6090740740741</v>
      </c>
      <c r="C24" s="10" t="n">
        <v>0.5</v>
      </c>
      <c r="D24" s="10" t="n">
        <v>0</v>
      </c>
      <c r="E24" s="10" t="n">
        <v>1.299074074074099</v>
      </c>
      <c r="F24" s="10" t="n">
        <v>0.4481805555555641</v>
      </c>
      <c r="G24" s="10" t="n">
        <v>-0.6899999999999999</v>
      </c>
      <c r="H24" s="10" t="n">
        <v>1.470949846164538</v>
      </c>
    </row>
    <row r="25">
      <c r="A25" s="14" t="inlineStr">
        <is>
          <t>Tổng cộng dòng chủ</t>
        </is>
      </c>
      <c r="B25" s="15" t="n"/>
      <c r="C25" s="15" t="n"/>
      <c r="D25" s="15" t="n"/>
      <c r="E25" s="15" t="n">
        <v>281.3787104377105</v>
      </c>
      <c r="F25" s="15" t="n">
        <v>1029.032106010101</v>
      </c>
      <c r="G25" s="15" t="n">
        <v>0</v>
      </c>
      <c r="H25" s="15" t="n">
        <v>282.0576528021134</v>
      </c>
    </row>
    <row r="26">
      <c r="A26" s="14" t="inlineStr">
        <is>
          <t>Tổng cộng bãi phải</t>
        </is>
      </c>
      <c r="B26" s="15" t="n"/>
      <c r="C26" s="15" t="n"/>
      <c r="D26" s="15" t="n"/>
      <c r="E26" s="15" t="n">
        <v>0</v>
      </c>
      <c r="F26" s="15" t="n">
        <v>0</v>
      </c>
      <c r="G26" s="15" t="n">
        <v>0</v>
      </c>
      <c r="H26" s="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H12 = 0.20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53.774</v>
      </c>
      <c r="C6" s="10" t="n">
        <v>0.2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1.21</v>
      </c>
      <c r="E7" s="10" t="n">
        <v>6.225999999999999</v>
      </c>
      <c r="F7" s="10" t="n">
        <v>3.766729999999999</v>
      </c>
      <c r="G7" s="10" t="n">
        <v>1.21</v>
      </c>
      <c r="H7" s="10" t="n">
        <v>6.342489731958578</v>
      </c>
    </row>
    <row r="8">
      <c r="A8" s="13" t="inlineStr"/>
      <c r="B8" s="10" t="n">
        <v>70.52</v>
      </c>
      <c r="C8" s="10" t="n">
        <v>-2.11</v>
      </c>
      <c r="D8" s="10" t="n">
        <v>2.31</v>
      </c>
      <c r="E8" s="10" t="n">
        <v>10.52</v>
      </c>
      <c r="F8" s="10" t="n">
        <v>18.51519999999999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2.79</v>
      </c>
      <c r="E9" s="10" t="n">
        <v>9.480000000000004</v>
      </c>
      <c r="F9" s="10" t="n">
        <v>24.17400000000001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2.3</v>
      </c>
      <c r="E10" s="10" t="n">
        <v>20</v>
      </c>
      <c r="F10" s="10" t="n">
        <v>50.9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3.46</v>
      </c>
      <c r="E11" s="10" t="n">
        <v>20</v>
      </c>
      <c r="F11" s="10" t="n">
        <v>57.59999999999999</v>
      </c>
      <c r="G11" s="10" t="n">
        <v>1.16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4.24</v>
      </c>
      <c r="E12" s="10" t="n">
        <v>20</v>
      </c>
      <c r="F12" s="10" t="n">
        <v>77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4.33</v>
      </c>
      <c r="E13" s="10" t="n">
        <v>20</v>
      </c>
      <c r="F13" s="10" t="n">
        <v>85.7</v>
      </c>
      <c r="G13" s="10" t="n">
        <v>0.08999999999999986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4.07</v>
      </c>
      <c r="E14" s="10" t="n">
        <v>20</v>
      </c>
      <c r="F14" s="10" t="n">
        <v>84</v>
      </c>
      <c r="G14" s="10" t="n">
        <v>-0.2599999999999998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4.29</v>
      </c>
      <c r="E15" s="10" t="n">
        <v>20</v>
      </c>
      <c r="F15" s="10" t="n">
        <v>83.59999999999999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4.45</v>
      </c>
      <c r="E16" s="10" t="n">
        <v>20</v>
      </c>
      <c r="F16" s="10" t="n">
        <v>87.40000000000001</v>
      </c>
      <c r="G16" s="10" t="n">
        <v>0.1600000000000001</v>
      </c>
      <c r="H16" s="10" t="n">
        <v>20.00063998976033</v>
      </c>
    </row>
    <row r="17">
      <c r="A17" s="13" t="inlineStr"/>
      <c r="B17" s="10" t="n">
        <v>240</v>
      </c>
      <c r="C17" s="10" t="n">
        <v>-3.72</v>
      </c>
      <c r="D17" s="10" t="n">
        <v>3.92</v>
      </c>
      <c r="E17" s="10" t="n">
        <v>20</v>
      </c>
      <c r="F17" s="10" t="n">
        <v>83.70000000000002</v>
      </c>
      <c r="G17" s="10" t="n">
        <v>-0.5299999999999998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3.65</v>
      </c>
      <c r="E18" s="10" t="n">
        <v>20</v>
      </c>
      <c r="F18" s="10" t="n">
        <v>75.7</v>
      </c>
      <c r="G18" s="10" t="n">
        <v>-0.27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3.78</v>
      </c>
      <c r="E19" s="10" t="n">
        <v>20</v>
      </c>
      <c r="F19" s="10" t="n">
        <v>74.30000000000001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</v>
      </c>
      <c r="D20" s="10" t="n">
        <v>3.09</v>
      </c>
      <c r="E20" s="10" t="n">
        <v>20</v>
      </c>
      <c r="F20" s="10" t="n">
        <v>68.70000000000002</v>
      </c>
      <c r="G20" s="10" t="n">
        <v>-0.6899999999999999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3.01</v>
      </c>
      <c r="E21" s="10" t="n">
        <v>14.06</v>
      </c>
      <c r="F21" s="10" t="n">
        <v>42.88300000000001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1.7</v>
      </c>
      <c r="E22" s="10" t="n">
        <v>5.939999999999998</v>
      </c>
      <c r="F22" s="10" t="n">
        <v>13.98869999999999</v>
      </c>
      <c r="G22" s="10" t="n">
        <v>-1.31</v>
      </c>
      <c r="H22" s="10" t="n">
        <v>6.082737870400135</v>
      </c>
    </row>
    <row r="23">
      <c r="A23" s="13" t="inlineStr"/>
      <c r="B23" s="10" t="n">
        <v>332.31</v>
      </c>
      <c r="C23" s="10" t="n">
        <v>-0.19</v>
      </c>
      <c r="D23" s="10" t="n">
        <v>0.39</v>
      </c>
      <c r="E23" s="10" t="n">
        <v>12.31</v>
      </c>
      <c r="F23" s="10" t="n">
        <v>12.86395</v>
      </c>
      <c r="G23" s="10" t="n">
        <v>-1.31</v>
      </c>
      <c r="H23" s="10" t="n">
        <v>12.37950725998414</v>
      </c>
    </row>
    <row r="24">
      <c r="A24" s="13" t="inlineStr"/>
      <c r="B24" s="10" t="n">
        <v>333.0442592592593</v>
      </c>
      <c r="C24" s="10" t="n">
        <v>0.2</v>
      </c>
      <c r="D24" s="10" t="n">
        <v>0</v>
      </c>
      <c r="E24" s="10" t="n">
        <v>0.7342592592592609</v>
      </c>
      <c r="F24" s="10" t="n">
        <v>0.1431805555555559</v>
      </c>
      <c r="G24" s="10" t="n">
        <v>-0.39</v>
      </c>
      <c r="H24" s="10" t="n">
        <v>0.8314064347886408</v>
      </c>
    </row>
    <row r="25">
      <c r="A25" s="14" t="inlineStr">
        <is>
          <t>Tổng cộng dòng chủ</t>
        </is>
      </c>
      <c r="B25" s="15" t="n"/>
      <c r="C25" s="15" t="n"/>
      <c r="D25" s="15" t="n"/>
      <c r="E25" s="15" t="n">
        <v>279.2702592592593</v>
      </c>
      <c r="F25" s="15" t="n">
        <v>944.9347605555558</v>
      </c>
      <c r="G25" s="15" t="n">
        <v>-1.110223024625157e-16</v>
      </c>
      <c r="H25" s="15" t="n">
        <v>279.8455912753758</v>
      </c>
    </row>
    <row r="26">
      <c r="A26" s="14" t="inlineStr">
        <is>
          <t>Tổng cộng bãi phải</t>
        </is>
      </c>
      <c r="B26" s="15" t="n"/>
      <c r="C26" s="15" t="n"/>
      <c r="D26" s="15" t="n"/>
      <c r="E26" s="15" t="n">
        <v>0</v>
      </c>
      <c r="F26" s="15" t="n">
        <v>0</v>
      </c>
      <c r="G26" s="15" t="n">
        <v>0</v>
      </c>
      <c r="H26" s="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H13 = -0.10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55.31763636363636</v>
      </c>
      <c r="C6" s="10" t="n">
        <v>-0.1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0.91</v>
      </c>
      <c r="E7" s="10" t="n">
        <v>4.68236363636364</v>
      </c>
      <c r="F7" s="10" t="n">
        <v>2.130475454545456</v>
      </c>
      <c r="G7" s="10" t="n">
        <v>0.91</v>
      </c>
      <c r="H7" s="10" t="n">
        <v>4.76997161659695</v>
      </c>
    </row>
    <row r="8">
      <c r="A8" s="13" t="inlineStr"/>
      <c r="B8" s="10" t="n">
        <v>70.52</v>
      </c>
      <c r="C8" s="10" t="n">
        <v>-2.11</v>
      </c>
      <c r="D8" s="10" t="n">
        <v>2.01</v>
      </c>
      <c r="E8" s="10" t="n">
        <v>10.52</v>
      </c>
      <c r="F8" s="10" t="n">
        <v>15.35919999999999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2.49</v>
      </c>
      <c r="E9" s="10" t="n">
        <v>9.480000000000004</v>
      </c>
      <c r="F9" s="10" t="n">
        <v>21.33000000000001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2</v>
      </c>
      <c r="E10" s="10" t="n">
        <v>20</v>
      </c>
      <c r="F10" s="10" t="n">
        <v>44.90000000000001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3.16</v>
      </c>
      <c r="E11" s="10" t="n">
        <v>20</v>
      </c>
      <c r="F11" s="10" t="n">
        <v>51.6</v>
      </c>
      <c r="G11" s="10" t="n">
        <v>1.16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3.94</v>
      </c>
      <c r="E12" s="10" t="n">
        <v>20</v>
      </c>
      <c r="F12" s="10" t="n">
        <v>71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4.03</v>
      </c>
      <c r="E13" s="10" t="n">
        <v>20</v>
      </c>
      <c r="F13" s="10" t="n">
        <v>79.7</v>
      </c>
      <c r="G13" s="10" t="n">
        <v>0.0900000000000003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3.77</v>
      </c>
      <c r="E14" s="10" t="n">
        <v>20</v>
      </c>
      <c r="F14" s="10" t="n">
        <v>78</v>
      </c>
      <c r="G14" s="10" t="n">
        <v>-0.2600000000000002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3.99</v>
      </c>
      <c r="E15" s="10" t="n">
        <v>20</v>
      </c>
      <c r="F15" s="10" t="n">
        <v>77.59999999999999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4.15</v>
      </c>
      <c r="E16" s="10" t="n">
        <v>20</v>
      </c>
      <c r="F16" s="10" t="n">
        <v>81.40000000000001</v>
      </c>
      <c r="G16" s="10" t="n">
        <v>0.1600000000000006</v>
      </c>
      <c r="H16" s="10" t="n">
        <v>20.00063998976033</v>
      </c>
    </row>
    <row r="17">
      <c r="A17" s="13" t="inlineStr"/>
      <c r="B17" s="10" t="n">
        <v>240</v>
      </c>
      <c r="C17" s="10" t="n">
        <v>-3.72</v>
      </c>
      <c r="D17" s="10" t="n">
        <v>3.62</v>
      </c>
      <c r="E17" s="10" t="n">
        <v>20</v>
      </c>
      <c r="F17" s="10" t="n">
        <v>77.7</v>
      </c>
      <c r="G17" s="10" t="n">
        <v>-0.5300000000000002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3.35</v>
      </c>
      <c r="E18" s="10" t="n">
        <v>20</v>
      </c>
      <c r="F18" s="10" t="n">
        <v>69.7</v>
      </c>
      <c r="G18" s="10" t="n">
        <v>-0.27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3.48</v>
      </c>
      <c r="E19" s="10" t="n">
        <v>20</v>
      </c>
      <c r="F19" s="10" t="n">
        <v>68.3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</v>
      </c>
      <c r="D20" s="10" t="n">
        <v>2.79</v>
      </c>
      <c r="E20" s="10" t="n">
        <v>20</v>
      </c>
      <c r="F20" s="10" t="n">
        <v>62.7</v>
      </c>
      <c r="G20" s="10" t="n">
        <v>-0.6899999999999999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2.71</v>
      </c>
      <c r="E21" s="10" t="n">
        <v>14.06</v>
      </c>
      <c r="F21" s="10" t="n">
        <v>38.66500000000001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1.4</v>
      </c>
      <c r="E22" s="10" t="n">
        <v>5.939999999999998</v>
      </c>
      <c r="F22" s="10" t="n">
        <v>12.20669999999999</v>
      </c>
      <c r="G22" s="10" t="n">
        <v>-1.31</v>
      </c>
      <c r="H22" s="10" t="n">
        <v>6.082737870400135</v>
      </c>
    </row>
    <row r="23">
      <c r="A23" s="13" t="inlineStr"/>
      <c r="B23" s="10" t="n">
        <v>332.31</v>
      </c>
      <c r="C23" s="10" t="n">
        <v>-0.19</v>
      </c>
      <c r="D23" s="10" t="n">
        <v>0.09</v>
      </c>
      <c r="E23" s="10" t="n">
        <v>12.31</v>
      </c>
      <c r="F23" s="10" t="n">
        <v>9.170950000000001</v>
      </c>
      <c r="G23" s="10" t="n">
        <v>-1.31</v>
      </c>
      <c r="H23" s="10" t="n">
        <v>12.37950725998414</v>
      </c>
    </row>
    <row r="24">
      <c r="A24" s="13" t="inlineStr"/>
      <c r="B24" s="10" t="n">
        <v>332.4794444444444</v>
      </c>
      <c r="C24" s="10" t="n">
        <v>-0.1</v>
      </c>
      <c r="D24" s="10" t="n">
        <v>0</v>
      </c>
      <c r="E24" s="10" t="n">
        <v>0.169444444444423</v>
      </c>
      <c r="F24" s="10" t="n">
        <v>0.007624999999999034</v>
      </c>
      <c r="G24" s="10" t="n">
        <v>-0.09</v>
      </c>
      <c r="H24" s="10" t="n">
        <v>0.191863023412744</v>
      </c>
    </row>
    <row r="25">
      <c r="A25" s="14" t="inlineStr">
        <is>
          <t>Tổng cộng dòng chủ</t>
        </is>
      </c>
      <c r="B25" s="15" t="n"/>
      <c r="C25" s="15" t="n"/>
      <c r="D25" s="15" t="n"/>
      <c r="E25" s="15" t="n">
        <v>277.161808080808</v>
      </c>
      <c r="F25" s="15" t="n">
        <v>861.4699504545454</v>
      </c>
      <c r="G25" s="15" t="n">
        <v>8.326672684688674e-17</v>
      </c>
      <c r="H25" s="15" t="n">
        <v>277.6335297486383</v>
      </c>
    </row>
    <row r="26">
      <c r="A26" s="14" t="inlineStr">
        <is>
          <t>Tổng cộng bãi phải</t>
        </is>
      </c>
      <c r="B26" s="15" t="n"/>
      <c r="C26" s="15" t="n"/>
      <c r="D26" s="15" t="n"/>
      <c r="E26" s="15" t="n">
        <v>0</v>
      </c>
      <c r="F26" s="15" t="n">
        <v>0</v>
      </c>
      <c r="G26" s="15" t="n">
        <v>0</v>
      </c>
      <c r="H26" s="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H14 = -0.40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56.86127272727273</v>
      </c>
      <c r="C6" s="10" t="n">
        <v>-0.4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0.61</v>
      </c>
      <c r="E7" s="10" t="n">
        <v>3.138727272727273</v>
      </c>
      <c r="F7" s="10" t="n">
        <v>0.9573118181818182</v>
      </c>
      <c r="G7" s="10" t="n">
        <v>0.61</v>
      </c>
      <c r="H7" s="10" t="n">
        <v>3.197453501235317</v>
      </c>
    </row>
    <row r="8">
      <c r="A8" s="13" t="inlineStr"/>
      <c r="B8" s="10" t="n">
        <v>70.52</v>
      </c>
      <c r="C8" s="10" t="n">
        <v>-2.11</v>
      </c>
      <c r="D8" s="10" t="n">
        <v>1.71</v>
      </c>
      <c r="E8" s="10" t="n">
        <v>10.52</v>
      </c>
      <c r="F8" s="10" t="n">
        <v>12.2032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2.19</v>
      </c>
      <c r="E9" s="10" t="n">
        <v>9.480000000000004</v>
      </c>
      <c r="F9" s="10" t="n">
        <v>18.48600000000001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1.7</v>
      </c>
      <c r="E10" s="10" t="n">
        <v>20</v>
      </c>
      <c r="F10" s="10" t="n">
        <v>38.9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2.86</v>
      </c>
      <c r="E11" s="10" t="n">
        <v>20</v>
      </c>
      <c r="F11" s="10" t="n">
        <v>45.60000000000001</v>
      </c>
      <c r="G11" s="10" t="n">
        <v>1.16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3.64</v>
      </c>
      <c r="E12" s="10" t="n">
        <v>20</v>
      </c>
      <c r="F12" s="10" t="n">
        <v>65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3.73</v>
      </c>
      <c r="E13" s="10" t="n">
        <v>20</v>
      </c>
      <c r="F13" s="10" t="n">
        <v>73.7</v>
      </c>
      <c r="G13" s="10" t="n">
        <v>0.08999999999999986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3.47</v>
      </c>
      <c r="E14" s="10" t="n">
        <v>20</v>
      </c>
      <c r="F14" s="10" t="n">
        <v>72</v>
      </c>
      <c r="G14" s="10" t="n">
        <v>-0.2599999999999998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3.69</v>
      </c>
      <c r="E15" s="10" t="n">
        <v>20</v>
      </c>
      <c r="F15" s="10" t="n">
        <v>71.59999999999999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3.85</v>
      </c>
      <c r="E16" s="10" t="n">
        <v>20</v>
      </c>
      <c r="F16" s="10" t="n">
        <v>75.40000000000001</v>
      </c>
      <c r="G16" s="10" t="n">
        <v>0.1600000000000001</v>
      </c>
      <c r="H16" s="10" t="n">
        <v>20.00063998976033</v>
      </c>
    </row>
    <row r="17">
      <c r="A17" s="13" t="inlineStr"/>
      <c r="B17" s="10" t="n">
        <v>240</v>
      </c>
      <c r="C17" s="10" t="n">
        <v>-3.72</v>
      </c>
      <c r="D17" s="10" t="n">
        <v>3.32</v>
      </c>
      <c r="E17" s="10" t="n">
        <v>20</v>
      </c>
      <c r="F17" s="10" t="n">
        <v>71.7</v>
      </c>
      <c r="G17" s="10" t="n">
        <v>-0.5299999999999998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3.05</v>
      </c>
      <c r="E18" s="10" t="n">
        <v>20</v>
      </c>
      <c r="F18" s="10" t="n">
        <v>63.70000000000001</v>
      </c>
      <c r="G18" s="10" t="n">
        <v>-0.27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3.18</v>
      </c>
      <c r="E19" s="10" t="n">
        <v>20</v>
      </c>
      <c r="F19" s="10" t="n">
        <v>62.3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</v>
      </c>
      <c r="D20" s="10" t="n">
        <v>2.49</v>
      </c>
      <c r="E20" s="10" t="n">
        <v>20</v>
      </c>
      <c r="F20" s="10" t="n">
        <v>56.7</v>
      </c>
      <c r="G20" s="10" t="n">
        <v>-0.6899999999999999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2.41</v>
      </c>
      <c r="E21" s="10" t="n">
        <v>14.06</v>
      </c>
      <c r="F21" s="10" t="n">
        <v>34.44700000000001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1.1</v>
      </c>
      <c r="E22" s="10" t="n">
        <v>5.939999999999998</v>
      </c>
      <c r="F22" s="10" t="n">
        <v>10.4247</v>
      </c>
      <c r="G22" s="10" t="n">
        <v>-1.31</v>
      </c>
      <c r="H22" s="10" t="n">
        <v>6.082737870400135</v>
      </c>
    </row>
    <row r="23">
      <c r="A23" s="13" t="inlineStr"/>
      <c r="B23" s="10" t="n">
        <v>330.3366412213741</v>
      </c>
      <c r="C23" s="10" t="n">
        <v>-0.4</v>
      </c>
      <c r="D23" s="10" t="n">
        <v>0</v>
      </c>
      <c r="E23" s="10" t="n">
        <v>10.33664122137407</v>
      </c>
      <c r="F23" s="10" t="n">
        <v>5.685152671755737</v>
      </c>
      <c r="G23" s="10" t="n">
        <v>-1.1</v>
      </c>
      <c r="H23" s="10" t="n">
        <v>10.39500609616991</v>
      </c>
    </row>
    <row r="24">
      <c r="A24" s="14" t="inlineStr">
        <is>
          <t>Tổng cộng dòng chủ</t>
        </is>
      </c>
      <c r="B24" s="15" t="n"/>
      <c r="C24" s="15" t="n"/>
      <c r="D24" s="15" t="n"/>
      <c r="E24" s="15" t="n">
        <v>273.4753684941014</v>
      </c>
      <c r="F24" s="15" t="n">
        <v>778.8033644899376</v>
      </c>
      <c r="G24" s="15" t="n">
        <v>0</v>
      </c>
      <c r="H24" s="15" t="n">
        <v>273.8846474460496</v>
      </c>
    </row>
    <row r="25">
      <c r="A25" s="14" t="inlineStr">
        <is>
          <t>Tổng cộng bãi phải</t>
        </is>
      </c>
      <c r="B25" s="15" t="n"/>
      <c r="C25" s="15" t="n"/>
      <c r="D25" s="15" t="n"/>
      <c r="E25" s="15" t="n">
        <v>0</v>
      </c>
      <c r="F25" s="15" t="n">
        <v>0</v>
      </c>
      <c r="G25" s="15" t="n">
        <v>0</v>
      </c>
      <c r="H25" s="1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H15 = -0.70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58.40490909090909</v>
      </c>
      <c r="C6" s="10" t="n">
        <v>-0.7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0.3100000000000001</v>
      </c>
      <c r="E7" s="10" t="n">
        <v>1.595090909090914</v>
      </c>
      <c r="F7" s="10" t="n">
        <v>0.2472390909090916</v>
      </c>
      <c r="G7" s="10" t="n">
        <v>0.3100000000000001</v>
      </c>
      <c r="H7" s="10" t="n">
        <v>1.62493538587369</v>
      </c>
    </row>
    <row r="8">
      <c r="A8" s="13" t="inlineStr"/>
      <c r="B8" s="10" t="n">
        <v>70.52</v>
      </c>
      <c r="C8" s="10" t="n">
        <v>-2.11</v>
      </c>
      <c r="D8" s="10" t="n">
        <v>1.41</v>
      </c>
      <c r="E8" s="10" t="n">
        <v>10.52</v>
      </c>
      <c r="F8" s="10" t="n">
        <v>9.047199999999997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1.89</v>
      </c>
      <c r="E9" s="10" t="n">
        <v>9.480000000000004</v>
      </c>
      <c r="F9" s="10" t="n">
        <v>15.64200000000001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1.4</v>
      </c>
      <c r="E10" s="10" t="n">
        <v>20</v>
      </c>
      <c r="F10" s="10" t="n">
        <v>32.9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2.56</v>
      </c>
      <c r="E11" s="10" t="n">
        <v>20</v>
      </c>
      <c r="F11" s="10" t="n">
        <v>39.6</v>
      </c>
      <c r="G11" s="10" t="n">
        <v>1.159999999999999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3.34</v>
      </c>
      <c r="E12" s="10" t="n">
        <v>20</v>
      </c>
      <c r="F12" s="10" t="n">
        <v>58.99999999999999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3.43</v>
      </c>
      <c r="E13" s="10" t="n">
        <v>20</v>
      </c>
      <c r="F13" s="10" t="n">
        <v>67.69999999999999</v>
      </c>
      <c r="G13" s="10" t="n">
        <v>0.08999999999999986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3.17</v>
      </c>
      <c r="E14" s="10" t="n">
        <v>20</v>
      </c>
      <c r="F14" s="10" t="n">
        <v>66</v>
      </c>
      <c r="G14" s="10" t="n">
        <v>-0.2599999999999998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3.39</v>
      </c>
      <c r="E15" s="10" t="n">
        <v>20</v>
      </c>
      <c r="F15" s="10" t="n">
        <v>65.59999999999999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3.55</v>
      </c>
      <c r="E16" s="10" t="n">
        <v>20</v>
      </c>
      <c r="F16" s="10" t="n">
        <v>69.39999999999999</v>
      </c>
      <c r="G16" s="10" t="n">
        <v>0.1600000000000001</v>
      </c>
      <c r="H16" s="10" t="n">
        <v>20.00063998976033</v>
      </c>
    </row>
    <row r="17">
      <c r="A17" s="13" t="inlineStr"/>
      <c r="B17" s="10" t="n">
        <v>240</v>
      </c>
      <c r="C17" s="10" t="n">
        <v>-3.720000000000001</v>
      </c>
      <c r="D17" s="10" t="n">
        <v>3.02</v>
      </c>
      <c r="E17" s="10" t="n">
        <v>20</v>
      </c>
      <c r="F17" s="10" t="n">
        <v>65.7</v>
      </c>
      <c r="G17" s="10" t="n">
        <v>-0.5299999999999994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2.75</v>
      </c>
      <c r="E18" s="10" t="n">
        <v>20</v>
      </c>
      <c r="F18" s="10" t="n">
        <v>57.7</v>
      </c>
      <c r="G18" s="10" t="n">
        <v>-0.2700000000000005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2.88</v>
      </c>
      <c r="E19" s="10" t="n">
        <v>20</v>
      </c>
      <c r="F19" s="10" t="n">
        <v>56.3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-2.890000000000001</v>
      </c>
      <c r="D20" s="10" t="n">
        <v>2.19</v>
      </c>
      <c r="E20" s="10" t="n">
        <v>20</v>
      </c>
      <c r="F20" s="10" t="n">
        <v>50.7</v>
      </c>
      <c r="G20" s="10" t="n">
        <v>-0.6899999999999995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2.11</v>
      </c>
      <c r="E21" s="10" t="n">
        <v>14.06</v>
      </c>
      <c r="F21" s="10" t="n">
        <v>30.22900000000001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0.8</v>
      </c>
      <c r="E22" s="10" t="n">
        <v>5.939999999999998</v>
      </c>
      <c r="F22" s="10" t="n">
        <v>8.642699999999998</v>
      </c>
      <c r="G22" s="10" t="n">
        <v>-1.31</v>
      </c>
      <c r="H22" s="10" t="n">
        <v>6.082737870400135</v>
      </c>
    </row>
    <row r="23">
      <c r="A23" s="13" t="inlineStr"/>
      <c r="B23" s="10" t="n">
        <v>327.5175572519084</v>
      </c>
      <c r="C23" s="10" t="n">
        <v>-0.7</v>
      </c>
      <c r="D23" s="10" t="n">
        <v>0</v>
      </c>
      <c r="E23" s="10" t="n">
        <v>7.517557251908386</v>
      </c>
      <c r="F23" s="10" t="n">
        <v>3.007022900763355</v>
      </c>
      <c r="G23" s="10" t="n">
        <v>-0.8</v>
      </c>
      <c r="H23" s="10" t="n">
        <v>7.560004433578089</v>
      </c>
    </row>
    <row r="24">
      <c r="A24" s="14" t="inlineStr">
        <is>
          <t>Tổng cộng dòng chủ</t>
        </is>
      </c>
      <c r="B24" s="15" t="n"/>
      <c r="C24" s="15" t="n"/>
      <c r="D24" s="15" t="n"/>
      <c r="E24" s="15" t="n">
        <v>269.1126481609993</v>
      </c>
      <c r="F24" s="15" t="n">
        <v>697.4151619916724</v>
      </c>
      <c r="G24" s="15" t="n">
        <v>0</v>
      </c>
      <c r="H24" s="15" t="n">
        <v>269.4771276680962</v>
      </c>
    </row>
    <row r="25">
      <c r="A25" s="14" t="inlineStr">
        <is>
          <t>Tổng cộng bãi phải</t>
        </is>
      </c>
      <c r="B25" s="15" t="n"/>
      <c r="C25" s="15" t="n"/>
      <c r="D25" s="15" t="n"/>
      <c r="E25" s="15" t="n">
        <v>0</v>
      </c>
      <c r="F25" s="15" t="n">
        <v>0</v>
      </c>
      <c r="G25" s="15" t="n">
        <v>0</v>
      </c>
      <c r="H25" s="1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H16 = -1.00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59.94854545454545</v>
      </c>
      <c r="C6" s="10" t="n">
        <v>-1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60</v>
      </c>
      <c r="C7" s="10" t="n">
        <v>-1.01</v>
      </c>
      <c r="D7" s="10" t="n">
        <v>0.01000000000000001</v>
      </c>
      <c r="E7" s="10" t="n">
        <v>0.05145454545454697</v>
      </c>
      <c r="F7" s="10" t="n">
        <v>0.0002572727272727351</v>
      </c>
      <c r="G7" s="10" t="n">
        <v>0.01000000000000001</v>
      </c>
      <c r="H7" s="10" t="n">
        <v>0.05241727051205586</v>
      </c>
    </row>
    <row r="8">
      <c r="A8" s="13" t="inlineStr"/>
      <c r="B8" s="10" t="n">
        <v>70.52</v>
      </c>
      <c r="C8" s="10" t="n">
        <v>-2.11</v>
      </c>
      <c r="D8" s="10" t="n">
        <v>1.11</v>
      </c>
      <c r="E8" s="10" t="n">
        <v>10.52</v>
      </c>
      <c r="F8" s="10" t="n">
        <v>5.891199999999997</v>
      </c>
      <c r="G8" s="10" t="n">
        <v>1.1</v>
      </c>
      <c r="H8" s="10" t="n">
        <v>10.57735316608082</v>
      </c>
    </row>
    <row r="9">
      <c r="A9" s="13" t="inlineStr"/>
      <c r="B9" s="10" t="n">
        <v>80</v>
      </c>
      <c r="C9" s="10" t="n">
        <v>-2.59</v>
      </c>
      <c r="D9" s="10" t="n">
        <v>1.59</v>
      </c>
      <c r="E9" s="10" t="n">
        <v>9.480000000000004</v>
      </c>
      <c r="F9" s="10" t="n">
        <v>12.798</v>
      </c>
      <c r="G9" s="10" t="n">
        <v>0.48</v>
      </c>
      <c r="H9" s="10" t="n">
        <v>9.49214412027125</v>
      </c>
    </row>
    <row r="10">
      <c r="A10" s="13" t="inlineStr"/>
      <c r="B10" s="10" t="n">
        <v>100</v>
      </c>
      <c r="C10" s="10" t="n">
        <v>-2.1</v>
      </c>
      <c r="D10" s="10" t="n">
        <v>1.1</v>
      </c>
      <c r="E10" s="10" t="n">
        <v>20</v>
      </c>
      <c r="F10" s="10" t="n">
        <v>26.9</v>
      </c>
      <c r="G10" s="10" t="n">
        <v>-0.4899999999999998</v>
      </c>
      <c r="H10" s="10" t="n">
        <v>20.00600159952008</v>
      </c>
    </row>
    <row r="11">
      <c r="A11" s="13" t="inlineStr"/>
      <c r="B11" s="10" t="n">
        <v>120</v>
      </c>
      <c r="C11" s="10" t="n">
        <v>-3.26</v>
      </c>
      <c r="D11" s="10" t="n">
        <v>2.26</v>
      </c>
      <c r="E11" s="10" t="n">
        <v>20</v>
      </c>
      <c r="F11" s="10" t="n">
        <v>33.6</v>
      </c>
      <c r="G11" s="10" t="n">
        <v>1.16</v>
      </c>
      <c r="H11" s="10" t="n">
        <v>20.03361175624605</v>
      </c>
    </row>
    <row r="12">
      <c r="A12" s="13" t="inlineStr"/>
      <c r="B12" s="10" t="n">
        <v>140</v>
      </c>
      <c r="C12" s="10" t="n">
        <v>-4.04</v>
      </c>
      <c r="D12" s="10" t="n">
        <v>3.04</v>
      </c>
      <c r="E12" s="10" t="n">
        <v>20</v>
      </c>
      <c r="F12" s="10" t="n">
        <v>53</v>
      </c>
      <c r="G12" s="10" t="n">
        <v>0.7800000000000002</v>
      </c>
      <c r="H12" s="10" t="n">
        <v>20.01520422079175</v>
      </c>
    </row>
    <row r="13">
      <c r="A13" s="13" t="inlineStr"/>
      <c r="B13" s="10" t="n">
        <v>160</v>
      </c>
      <c r="C13" s="10" t="n">
        <v>-4.13</v>
      </c>
      <c r="D13" s="10" t="n">
        <v>3.13</v>
      </c>
      <c r="E13" s="10" t="n">
        <v>20</v>
      </c>
      <c r="F13" s="10" t="n">
        <v>61.7</v>
      </c>
      <c r="G13" s="10" t="n">
        <v>0.08999999999999986</v>
      </c>
      <c r="H13" s="10" t="n">
        <v>20.00020249897485</v>
      </c>
    </row>
    <row r="14">
      <c r="A14" s="13" t="inlineStr"/>
      <c r="B14" s="10" t="n">
        <v>180</v>
      </c>
      <c r="C14" s="10" t="n">
        <v>-3.87</v>
      </c>
      <c r="D14" s="10" t="n">
        <v>2.87</v>
      </c>
      <c r="E14" s="10" t="n">
        <v>20</v>
      </c>
      <c r="F14" s="10" t="n">
        <v>60</v>
      </c>
      <c r="G14" s="10" t="n">
        <v>-0.2599999999999998</v>
      </c>
      <c r="H14" s="10" t="n">
        <v>20.00168992860353</v>
      </c>
    </row>
    <row r="15">
      <c r="A15" s="13" t="inlineStr"/>
      <c r="B15" s="10" t="n">
        <v>200</v>
      </c>
      <c r="C15" s="10" t="n">
        <v>-4.09</v>
      </c>
      <c r="D15" s="10" t="n">
        <v>3.09</v>
      </c>
      <c r="E15" s="10" t="n">
        <v>20</v>
      </c>
      <c r="F15" s="10" t="n">
        <v>59.6</v>
      </c>
      <c r="G15" s="10" t="n">
        <v>0.2199999999999998</v>
      </c>
      <c r="H15" s="10" t="n">
        <v>20.00120996339971</v>
      </c>
    </row>
    <row r="16">
      <c r="A16" s="13" t="inlineStr"/>
      <c r="B16" s="10" t="n">
        <v>220</v>
      </c>
      <c r="C16" s="10" t="n">
        <v>-4.25</v>
      </c>
      <c r="D16" s="10" t="n">
        <v>3.25</v>
      </c>
      <c r="E16" s="10" t="n">
        <v>20</v>
      </c>
      <c r="F16" s="10" t="n">
        <v>63.4</v>
      </c>
      <c r="G16" s="10" t="n">
        <v>0.1600000000000001</v>
      </c>
      <c r="H16" s="10" t="n">
        <v>20.00063998976033</v>
      </c>
    </row>
    <row r="17">
      <c r="A17" s="13" t="inlineStr"/>
      <c r="B17" s="10" t="n">
        <v>240</v>
      </c>
      <c r="C17" s="10" t="n">
        <v>-3.72</v>
      </c>
      <c r="D17" s="10" t="n">
        <v>2.72</v>
      </c>
      <c r="E17" s="10" t="n">
        <v>20</v>
      </c>
      <c r="F17" s="10" t="n">
        <v>59.7</v>
      </c>
      <c r="G17" s="10" t="n">
        <v>-0.5299999999999998</v>
      </c>
      <c r="H17" s="10" t="n">
        <v>20.00702126754505</v>
      </c>
    </row>
    <row r="18">
      <c r="A18" s="13" t="inlineStr"/>
      <c r="B18" s="10" t="n">
        <v>260</v>
      </c>
      <c r="C18" s="10" t="n">
        <v>-3.45</v>
      </c>
      <c r="D18" s="10" t="n">
        <v>2.45</v>
      </c>
      <c r="E18" s="10" t="n">
        <v>20</v>
      </c>
      <c r="F18" s="10" t="n">
        <v>51.7</v>
      </c>
      <c r="G18" s="10" t="n">
        <v>-0.27</v>
      </c>
      <c r="H18" s="10" t="n">
        <v>20.00182241696991</v>
      </c>
    </row>
    <row r="19">
      <c r="A19" s="13" t="inlineStr"/>
      <c r="B19" s="10" t="n">
        <v>280</v>
      </c>
      <c r="C19" s="10" t="n">
        <v>-3.58</v>
      </c>
      <c r="D19" s="10" t="n">
        <v>2.58</v>
      </c>
      <c r="E19" s="10" t="n">
        <v>20</v>
      </c>
      <c r="F19" s="10" t="n">
        <v>50.3</v>
      </c>
      <c r="G19" s="10" t="n">
        <v>0.1299999999999999</v>
      </c>
      <c r="H19" s="10" t="n">
        <v>20.00042249553744</v>
      </c>
    </row>
    <row r="20">
      <c r="A20" s="13" t="inlineStr"/>
      <c r="B20" s="10" t="n">
        <v>300</v>
      </c>
      <c r="C20" s="10" t="n">
        <v>-2.89</v>
      </c>
      <c r="D20" s="10" t="n">
        <v>1.89</v>
      </c>
      <c r="E20" s="10" t="n">
        <v>20</v>
      </c>
      <c r="F20" s="10" t="n">
        <v>44.7</v>
      </c>
      <c r="G20" s="10" t="n">
        <v>-0.6899999999999999</v>
      </c>
      <c r="H20" s="10" t="n">
        <v>20.01189896036855</v>
      </c>
    </row>
    <row r="21">
      <c r="A21" s="13" t="inlineStr"/>
      <c r="B21" s="10" t="n">
        <v>314.06</v>
      </c>
      <c r="C21" s="10" t="n">
        <v>-2.81</v>
      </c>
      <c r="D21" s="10" t="n">
        <v>1.81</v>
      </c>
      <c r="E21" s="10" t="n">
        <v>14.06</v>
      </c>
      <c r="F21" s="10" t="n">
        <v>26.01100000000001</v>
      </c>
      <c r="G21" s="10" t="n">
        <v>-0.08000000000000007</v>
      </c>
      <c r="H21" s="10" t="n">
        <v>14.060227594175</v>
      </c>
    </row>
    <row r="22">
      <c r="A22" s="13" t="inlineStr"/>
      <c r="B22" s="10" t="n">
        <v>320</v>
      </c>
      <c r="C22" s="10" t="n">
        <v>-1.5</v>
      </c>
      <c r="D22" s="10" t="n">
        <v>0.5</v>
      </c>
      <c r="E22" s="10" t="n">
        <v>5.939999999999998</v>
      </c>
      <c r="F22" s="10" t="n">
        <v>6.860699999999998</v>
      </c>
      <c r="G22" s="10" t="n">
        <v>-1.31</v>
      </c>
      <c r="H22" s="10" t="n">
        <v>6.082737870400135</v>
      </c>
    </row>
    <row r="23">
      <c r="A23" s="13" t="inlineStr"/>
      <c r="B23" s="10" t="n">
        <v>324.6984732824428</v>
      </c>
      <c r="C23" s="10" t="n">
        <v>-1</v>
      </c>
      <c r="D23" s="10" t="n">
        <v>0</v>
      </c>
      <c r="E23" s="10" t="n">
        <v>4.698473282442762</v>
      </c>
      <c r="F23" s="10" t="n">
        <v>1.174618320610691</v>
      </c>
      <c r="G23" s="10" t="n">
        <v>-0.5</v>
      </c>
      <c r="H23" s="10" t="n">
        <v>4.725002770986327</v>
      </c>
    </row>
    <row r="24">
      <c r="A24" s="14" t="inlineStr">
        <is>
          <t>Tổng cộng dòng chủ</t>
        </is>
      </c>
      <c r="B24" s="15" t="n"/>
      <c r="C24" s="15" t="n"/>
      <c r="D24" s="15" t="n"/>
      <c r="E24" s="15" t="n">
        <v>264.7499278278973</v>
      </c>
      <c r="F24" s="15" t="n">
        <v>617.3357755933379</v>
      </c>
      <c r="G24" s="15" t="n">
        <v>0</v>
      </c>
      <c r="H24" s="15" t="n">
        <v>265.0696078901428</v>
      </c>
    </row>
    <row r="25">
      <c r="A25" s="14" t="inlineStr">
        <is>
          <t>Tổng cộng bãi phải</t>
        </is>
      </c>
      <c r="B25" s="15" t="n"/>
      <c r="C25" s="15" t="n"/>
      <c r="D25" s="15" t="n"/>
      <c r="E25" s="15" t="n">
        <v>0</v>
      </c>
      <c r="F25" s="15" t="n">
        <v>0</v>
      </c>
      <c r="G25" s="15" t="n">
        <v>0</v>
      </c>
      <c r="H25" s="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H17 = -1.30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62.77345454545455</v>
      </c>
      <c r="C6" s="10" t="n">
        <v>-1.3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70.52</v>
      </c>
      <c r="C7" s="10" t="n">
        <v>-2.11</v>
      </c>
      <c r="D7" s="10" t="n">
        <v>0.8099999999999998</v>
      </c>
      <c r="E7" s="10" t="n">
        <v>7.746545454545448</v>
      </c>
      <c r="F7" s="10" t="n">
        <v>3.137350909090906</v>
      </c>
      <c r="G7" s="10" t="n">
        <v>0.8099999999999998</v>
      </c>
      <c r="H7" s="10" t="n">
        <v>7.78877824047769</v>
      </c>
    </row>
    <row r="8">
      <c r="A8" s="13" t="inlineStr"/>
      <c r="B8" s="10" t="n">
        <v>80</v>
      </c>
      <c r="C8" s="10" t="n">
        <v>-2.59</v>
      </c>
      <c r="D8" s="10" t="n">
        <v>1.29</v>
      </c>
      <c r="E8" s="10" t="n">
        <v>9.480000000000004</v>
      </c>
      <c r="F8" s="10" t="n">
        <v>9.954000000000002</v>
      </c>
      <c r="G8" s="10" t="n">
        <v>0.48</v>
      </c>
      <c r="H8" s="10" t="n">
        <v>9.49214412027125</v>
      </c>
    </row>
    <row r="9">
      <c r="A9" s="13" t="inlineStr"/>
      <c r="B9" s="10" t="n">
        <v>100</v>
      </c>
      <c r="C9" s="10" t="n">
        <v>-2.1</v>
      </c>
      <c r="D9" s="10" t="n">
        <v>0.8</v>
      </c>
      <c r="E9" s="10" t="n">
        <v>20</v>
      </c>
      <c r="F9" s="10" t="n">
        <v>20.9</v>
      </c>
      <c r="G9" s="10" t="n">
        <v>-0.4899999999999998</v>
      </c>
      <c r="H9" s="10" t="n">
        <v>20.00600159952008</v>
      </c>
    </row>
    <row r="10">
      <c r="A10" s="13" t="inlineStr"/>
      <c r="B10" s="10" t="n">
        <v>120</v>
      </c>
      <c r="C10" s="10" t="n">
        <v>-3.26</v>
      </c>
      <c r="D10" s="10" t="n">
        <v>1.96</v>
      </c>
      <c r="E10" s="10" t="n">
        <v>20</v>
      </c>
      <c r="F10" s="10" t="n">
        <v>27.6</v>
      </c>
      <c r="G10" s="10" t="n">
        <v>1.16</v>
      </c>
      <c r="H10" s="10" t="n">
        <v>20.03361175624605</v>
      </c>
    </row>
    <row r="11">
      <c r="A11" s="13" t="inlineStr"/>
      <c r="B11" s="10" t="n">
        <v>140</v>
      </c>
      <c r="C11" s="10" t="n">
        <v>-4.04</v>
      </c>
      <c r="D11" s="10" t="n">
        <v>2.74</v>
      </c>
      <c r="E11" s="10" t="n">
        <v>20</v>
      </c>
      <c r="F11" s="10" t="n">
        <v>47</v>
      </c>
      <c r="G11" s="10" t="n">
        <v>0.7800000000000005</v>
      </c>
      <c r="H11" s="10" t="n">
        <v>20.01520422079175</v>
      </c>
    </row>
    <row r="12">
      <c r="A12" s="13" t="inlineStr"/>
      <c r="B12" s="10" t="n">
        <v>160</v>
      </c>
      <c r="C12" s="10" t="n">
        <v>-4.13</v>
      </c>
      <c r="D12" s="10" t="n">
        <v>2.83</v>
      </c>
      <c r="E12" s="10" t="n">
        <v>20</v>
      </c>
      <c r="F12" s="10" t="n">
        <v>55.7</v>
      </c>
      <c r="G12" s="10" t="n">
        <v>0.08999999999999986</v>
      </c>
      <c r="H12" s="10" t="n">
        <v>20.00020249897485</v>
      </c>
    </row>
    <row r="13">
      <c r="A13" s="13" t="inlineStr"/>
      <c r="B13" s="10" t="n">
        <v>180</v>
      </c>
      <c r="C13" s="10" t="n">
        <v>-3.87</v>
      </c>
      <c r="D13" s="10" t="n">
        <v>2.57</v>
      </c>
      <c r="E13" s="10" t="n">
        <v>20</v>
      </c>
      <c r="F13" s="10" t="n">
        <v>54</v>
      </c>
      <c r="G13" s="10" t="n">
        <v>-0.2599999999999998</v>
      </c>
      <c r="H13" s="10" t="n">
        <v>20.00168992860353</v>
      </c>
    </row>
    <row r="14">
      <c r="A14" s="13" t="inlineStr"/>
      <c r="B14" s="10" t="n">
        <v>200</v>
      </c>
      <c r="C14" s="10" t="n">
        <v>-4.09</v>
      </c>
      <c r="D14" s="10" t="n">
        <v>2.79</v>
      </c>
      <c r="E14" s="10" t="n">
        <v>20</v>
      </c>
      <c r="F14" s="10" t="n">
        <v>53.6</v>
      </c>
      <c r="G14" s="10" t="n">
        <v>0.2199999999999998</v>
      </c>
      <c r="H14" s="10" t="n">
        <v>20.00120996339971</v>
      </c>
    </row>
    <row r="15">
      <c r="A15" s="13" t="inlineStr"/>
      <c r="B15" s="10" t="n">
        <v>220</v>
      </c>
      <c r="C15" s="10" t="n">
        <v>-4.25</v>
      </c>
      <c r="D15" s="10" t="n">
        <v>2.95</v>
      </c>
      <c r="E15" s="10" t="n">
        <v>20</v>
      </c>
      <c r="F15" s="10" t="n">
        <v>57.40000000000001</v>
      </c>
      <c r="G15" s="10" t="n">
        <v>0.1600000000000001</v>
      </c>
      <c r="H15" s="10" t="n">
        <v>20.00063998976033</v>
      </c>
    </row>
    <row r="16">
      <c r="A16" s="13" t="inlineStr"/>
      <c r="B16" s="10" t="n">
        <v>240</v>
      </c>
      <c r="C16" s="10" t="n">
        <v>-3.72</v>
      </c>
      <c r="D16" s="10" t="n">
        <v>2.42</v>
      </c>
      <c r="E16" s="10" t="n">
        <v>20</v>
      </c>
      <c r="F16" s="10" t="n">
        <v>53.7</v>
      </c>
      <c r="G16" s="10" t="n">
        <v>-0.5300000000000002</v>
      </c>
      <c r="H16" s="10" t="n">
        <v>20.00702126754505</v>
      </c>
    </row>
    <row r="17">
      <c r="A17" s="13" t="inlineStr"/>
      <c r="B17" s="10" t="n">
        <v>260</v>
      </c>
      <c r="C17" s="10" t="n">
        <v>-3.45</v>
      </c>
      <c r="D17" s="10" t="n">
        <v>2.15</v>
      </c>
      <c r="E17" s="10" t="n">
        <v>20</v>
      </c>
      <c r="F17" s="10" t="n">
        <v>45.7</v>
      </c>
      <c r="G17" s="10" t="n">
        <v>-0.2699999999999996</v>
      </c>
      <c r="H17" s="10" t="n">
        <v>20.00182241696991</v>
      </c>
    </row>
    <row r="18">
      <c r="A18" s="13" t="inlineStr"/>
      <c r="B18" s="10" t="n">
        <v>280</v>
      </c>
      <c r="C18" s="10" t="n">
        <v>-3.58</v>
      </c>
      <c r="D18" s="10" t="n">
        <v>2.28</v>
      </c>
      <c r="E18" s="10" t="n">
        <v>20</v>
      </c>
      <c r="F18" s="10" t="n">
        <v>44.3</v>
      </c>
      <c r="G18" s="10" t="n">
        <v>0.1299999999999999</v>
      </c>
      <c r="H18" s="10" t="n">
        <v>20.00042249553744</v>
      </c>
    </row>
    <row r="19">
      <c r="A19" s="13" t="inlineStr"/>
      <c r="B19" s="10" t="n">
        <v>300</v>
      </c>
      <c r="C19" s="10" t="n">
        <v>-2.89</v>
      </c>
      <c r="D19" s="10" t="n">
        <v>1.59</v>
      </c>
      <c r="E19" s="10" t="n">
        <v>20</v>
      </c>
      <c r="F19" s="10" t="n">
        <v>38.7</v>
      </c>
      <c r="G19" s="10" t="n">
        <v>-0.6900000000000002</v>
      </c>
      <c r="H19" s="10" t="n">
        <v>20.01189896036855</v>
      </c>
    </row>
    <row r="20">
      <c r="A20" s="13" t="inlineStr"/>
      <c r="B20" s="10" t="n">
        <v>314.06</v>
      </c>
      <c r="C20" s="10" t="n">
        <v>-2.81</v>
      </c>
      <c r="D20" s="10" t="n">
        <v>1.51</v>
      </c>
      <c r="E20" s="10" t="n">
        <v>14.06</v>
      </c>
      <c r="F20" s="10" t="n">
        <v>21.793</v>
      </c>
      <c r="G20" s="10" t="n">
        <v>-0.08000000000000007</v>
      </c>
      <c r="H20" s="10" t="n">
        <v>14.060227594175</v>
      </c>
    </row>
    <row r="21">
      <c r="A21" s="13" t="inlineStr"/>
      <c r="B21" s="10" t="n">
        <v>320</v>
      </c>
      <c r="C21" s="10" t="n">
        <v>-1.5</v>
      </c>
      <c r="D21" s="10" t="n">
        <v>0.2</v>
      </c>
      <c r="E21" s="10" t="n">
        <v>5.939999999999998</v>
      </c>
      <c r="F21" s="10" t="n">
        <v>5.078699999999998</v>
      </c>
      <c r="G21" s="10" t="n">
        <v>-1.31</v>
      </c>
      <c r="H21" s="10" t="n">
        <v>6.082737870400135</v>
      </c>
    </row>
    <row r="22">
      <c r="A22" s="13" t="inlineStr"/>
      <c r="B22" s="10" t="n">
        <v>321.8793893129771</v>
      </c>
      <c r="C22" s="10" t="n">
        <v>-1.3</v>
      </c>
      <c r="D22" s="10" t="n">
        <v>0</v>
      </c>
      <c r="E22" s="10" t="n">
        <v>1.879389312977082</v>
      </c>
      <c r="F22" s="10" t="n">
        <v>0.1879389312977082</v>
      </c>
      <c r="G22" s="10" t="n">
        <v>-0.2</v>
      </c>
      <c r="H22" s="10" t="n">
        <v>1.890001108394508</v>
      </c>
    </row>
    <row r="23">
      <c r="A23" s="14" t="inlineStr">
        <is>
          <t>Tổng cộng dòng chủ</t>
        </is>
      </c>
      <c r="B23" s="15" t="n"/>
      <c r="C23" s="15" t="n"/>
      <c r="D23" s="15" t="n"/>
      <c r="E23" s="15" t="n">
        <v>259.1059347675225</v>
      </c>
      <c r="F23" s="15" t="n">
        <v>538.7509898403887</v>
      </c>
      <c r="G23" s="15" t="n">
        <v>0</v>
      </c>
      <c r="H23" s="15" t="n">
        <v>259.3936140314358</v>
      </c>
    </row>
    <row r="24">
      <c r="A24" s="14" t="inlineStr">
        <is>
          <t>Tổng cộng bãi phải</t>
        </is>
      </c>
      <c r="B24" s="15" t="n"/>
      <c r="C24" s="15" t="n"/>
      <c r="D24" s="15" t="n"/>
      <c r="E24" s="15" t="n">
        <v>0</v>
      </c>
      <c r="F24" s="15" t="n">
        <v>0</v>
      </c>
      <c r="G24" s="15" t="n">
        <v>0</v>
      </c>
      <c r="H24" s="1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MẶT CẮT LƯU LƯỢNG TẠI HẠ LƯU CÁCH TIM 25M</t>
        </is>
      </c>
    </row>
    <row r="2">
      <c r="A2" s="7" t="inlineStr">
        <is>
          <t>BẢNG TÍNH DIỆN TÍCH THOÁT NƯỚC &amp; CHU VI ƯỚT CẦU PHÚ KIỂNG - CẤP H18 = -1.60 m</t>
        </is>
      </c>
    </row>
    <row r="4">
      <c r="A4" s="5" t="inlineStr">
        <is>
          <t>Bộ phận</t>
        </is>
      </c>
      <c r="B4" s="5" t="inlineStr">
        <is>
          <t>X (m)</t>
        </is>
      </c>
      <c r="C4" s="5" t="inlineStr">
        <is>
          <t>Cao độ TN (m)</t>
        </is>
      </c>
      <c r="D4" s="5" t="inlineStr">
        <is>
          <t>Độ sâu h (m)</t>
        </is>
      </c>
      <c r="E4" s="5" t="inlineStr">
        <is>
          <t>K/cách lẻ b (m)</t>
        </is>
      </c>
      <c r="F4" s="5" t="inlineStr">
        <is>
          <t>Diện tích ωi (m²)</t>
        </is>
      </c>
      <c r="G4" s="5" t="inlineStr">
        <is>
          <t>Δh (m)</t>
        </is>
      </c>
      <c r="H4" s="5" t="inlineStr">
        <is>
          <t>Chu vi ướt χi (m)</t>
        </is>
      </c>
    </row>
    <row r="5">
      <c r="A5" s="14" t="inlineStr">
        <is>
          <t>Tổng cộng bãi trái</t>
        </is>
      </c>
      <c r="B5" s="15" t="n"/>
      <c r="C5" s="15" t="n"/>
      <c r="D5" s="15" t="n"/>
      <c r="E5" s="15" t="n">
        <v>0</v>
      </c>
      <c r="F5" s="15" t="n">
        <v>0</v>
      </c>
      <c r="G5" s="15" t="n">
        <v>0</v>
      </c>
      <c r="H5" s="15" t="n">
        <v>0</v>
      </c>
    </row>
    <row r="6">
      <c r="A6" s="13" t="inlineStr">
        <is>
          <t>Dòng chủ</t>
        </is>
      </c>
      <c r="B6" s="10" t="n">
        <v>65.64254545454546</v>
      </c>
      <c r="C6" s="10" t="n">
        <v>-1.6</v>
      </c>
      <c r="D6" s="10" t="n">
        <v>0</v>
      </c>
      <c r="E6" s="10" t="n"/>
      <c r="F6" s="10" t="n"/>
      <c r="G6" s="10" t="n"/>
      <c r="H6" s="10" t="n"/>
    </row>
    <row r="7">
      <c r="A7" s="13" t="inlineStr"/>
      <c r="B7" s="10" t="n">
        <v>70.52</v>
      </c>
      <c r="C7" s="10" t="n">
        <v>-2.11</v>
      </c>
      <c r="D7" s="10" t="n">
        <v>0.5099999999999998</v>
      </c>
      <c r="E7" s="10" t="n">
        <v>4.87745454545454</v>
      </c>
      <c r="F7" s="10" t="n">
        <v>1.243750909090907</v>
      </c>
      <c r="G7" s="10" t="n">
        <v>0.5099999999999998</v>
      </c>
      <c r="H7" s="10" t="n">
        <v>4.904045558819285</v>
      </c>
    </row>
    <row r="8">
      <c r="A8" s="13" t="inlineStr"/>
      <c r="B8" s="10" t="n">
        <v>80</v>
      </c>
      <c r="C8" s="10" t="n">
        <v>-2.59</v>
      </c>
      <c r="D8" s="10" t="n">
        <v>0.9899999999999998</v>
      </c>
      <c r="E8" s="10" t="n">
        <v>9.480000000000004</v>
      </c>
      <c r="F8" s="10" t="n">
        <v>7.110000000000001</v>
      </c>
      <c r="G8" s="10" t="n">
        <v>0.48</v>
      </c>
      <c r="H8" s="10" t="n">
        <v>9.49214412027125</v>
      </c>
    </row>
    <row r="9">
      <c r="A9" s="13" t="inlineStr"/>
      <c r="B9" s="10" t="n">
        <v>100</v>
      </c>
      <c r="C9" s="10" t="n">
        <v>-2.1</v>
      </c>
      <c r="D9" s="10" t="n">
        <v>0.5</v>
      </c>
      <c r="E9" s="10" t="n">
        <v>20</v>
      </c>
      <c r="F9" s="10" t="n">
        <v>14.9</v>
      </c>
      <c r="G9" s="10" t="n">
        <v>-0.4899999999999998</v>
      </c>
      <c r="H9" s="10" t="n">
        <v>20.00600159952008</v>
      </c>
    </row>
    <row r="10">
      <c r="A10" s="13" t="inlineStr"/>
      <c r="B10" s="10" t="n">
        <v>120</v>
      </c>
      <c r="C10" s="10" t="n">
        <v>-3.26</v>
      </c>
      <c r="D10" s="10" t="n">
        <v>1.66</v>
      </c>
      <c r="E10" s="10" t="n">
        <v>20</v>
      </c>
      <c r="F10" s="10" t="n">
        <v>21.6</v>
      </c>
      <c r="G10" s="10" t="n">
        <v>1.16</v>
      </c>
      <c r="H10" s="10" t="n">
        <v>20.03361175624605</v>
      </c>
    </row>
    <row r="11">
      <c r="A11" s="13" t="inlineStr"/>
      <c r="B11" s="10" t="n">
        <v>140</v>
      </c>
      <c r="C11" s="10" t="n">
        <v>-4.04</v>
      </c>
      <c r="D11" s="10" t="n">
        <v>2.44</v>
      </c>
      <c r="E11" s="10" t="n">
        <v>20</v>
      </c>
      <c r="F11" s="10" t="n">
        <v>41</v>
      </c>
      <c r="G11" s="10" t="n">
        <v>0.7800000000000002</v>
      </c>
      <c r="H11" s="10" t="n">
        <v>20.01520422079175</v>
      </c>
    </row>
    <row r="12">
      <c r="A12" s="13" t="inlineStr"/>
      <c r="B12" s="10" t="n">
        <v>160</v>
      </c>
      <c r="C12" s="10" t="n">
        <v>-4.13</v>
      </c>
      <c r="D12" s="10" t="n">
        <v>2.53</v>
      </c>
      <c r="E12" s="10" t="n">
        <v>20</v>
      </c>
      <c r="F12" s="10" t="n">
        <v>49.7</v>
      </c>
      <c r="G12" s="10" t="n">
        <v>0.08999999999999986</v>
      </c>
      <c r="H12" s="10" t="n">
        <v>20.00020249897485</v>
      </c>
    </row>
    <row r="13">
      <c r="A13" s="13" t="inlineStr"/>
      <c r="B13" s="10" t="n">
        <v>180</v>
      </c>
      <c r="C13" s="10" t="n">
        <v>-3.87</v>
      </c>
      <c r="D13" s="10" t="n">
        <v>2.27</v>
      </c>
      <c r="E13" s="10" t="n">
        <v>20</v>
      </c>
      <c r="F13" s="10" t="n">
        <v>48</v>
      </c>
      <c r="G13" s="10" t="n">
        <v>-0.2599999999999998</v>
      </c>
      <c r="H13" s="10" t="n">
        <v>20.00168992860353</v>
      </c>
    </row>
    <row r="14">
      <c r="A14" s="13" t="inlineStr"/>
      <c r="B14" s="10" t="n">
        <v>200</v>
      </c>
      <c r="C14" s="10" t="n">
        <v>-4.09</v>
      </c>
      <c r="D14" s="10" t="n">
        <v>2.49</v>
      </c>
      <c r="E14" s="10" t="n">
        <v>20</v>
      </c>
      <c r="F14" s="10" t="n">
        <v>47.59999999999999</v>
      </c>
      <c r="G14" s="10" t="n">
        <v>0.2199999999999998</v>
      </c>
      <c r="H14" s="10" t="n">
        <v>20.00120996339971</v>
      </c>
    </row>
    <row r="15">
      <c r="A15" s="13" t="inlineStr"/>
      <c r="B15" s="10" t="n">
        <v>220</v>
      </c>
      <c r="C15" s="10" t="n">
        <v>-4.25</v>
      </c>
      <c r="D15" s="10" t="n">
        <v>2.65</v>
      </c>
      <c r="E15" s="10" t="n">
        <v>20</v>
      </c>
      <c r="F15" s="10" t="n">
        <v>51.4</v>
      </c>
      <c r="G15" s="10" t="n">
        <v>0.1600000000000001</v>
      </c>
      <c r="H15" s="10" t="n">
        <v>20.00063998976033</v>
      </c>
    </row>
    <row r="16">
      <c r="A16" s="13" t="inlineStr"/>
      <c r="B16" s="10" t="n">
        <v>240</v>
      </c>
      <c r="C16" s="10" t="n">
        <v>-3.72</v>
      </c>
      <c r="D16" s="10" t="n">
        <v>2.12</v>
      </c>
      <c r="E16" s="10" t="n">
        <v>20</v>
      </c>
      <c r="F16" s="10" t="n">
        <v>47.7</v>
      </c>
      <c r="G16" s="10" t="n">
        <v>-0.5299999999999998</v>
      </c>
      <c r="H16" s="10" t="n">
        <v>20.00702126754505</v>
      </c>
    </row>
    <row r="17">
      <c r="A17" s="13" t="inlineStr"/>
      <c r="B17" s="10" t="n">
        <v>260</v>
      </c>
      <c r="C17" s="10" t="n">
        <v>-3.45</v>
      </c>
      <c r="D17" s="10" t="n">
        <v>1.85</v>
      </c>
      <c r="E17" s="10" t="n">
        <v>20</v>
      </c>
      <c r="F17" s="10" t="n">
        <v>39.7</v>
      </c>
      <c r="G17" s="10" t="n">
        <v>-0.27</v>
      </c>
      <c r="H17" s="10" t="n">
        <v>20.00182241696991</v>
      </c>
    </row>
    <row r="18">
      <c r="A18" s="13" t="inlineStr"/>
      <c r="B18" s="10" t="n">
        <v>280</v>
      </c>
      <c r="C18" s="10" t="n">
        <v>-3.58</v>
      </c>
      <c r="D18" s="10" t="n">
        <v>1.98</v>
      </c>
      <c r="E18" s="10" t="n">
        <v>20</v>
      </c>
      <c r="F18" s="10" t="n">
        <v>38.3</v>
      </c>
      <c r="G18" s="10" t="n">
        <v>0.1299999999999999</v>
      </c>
      <c r="H18" s="10" t="n">
        <v>20.00042249553744</v>
      </c>
    </row>
    <row r="19">
      <c r="A19" s="13" t="inlineStr"/>
      <c r="B19" s="10" t="n">
        <v>300</v>
      </c>
      <c r="C19" s="10" t="n">
        <v>-2.89</v>
      </c>
      <c r="D19" s="10" t="n">
        <v>1.29</v>
      </c>
      <c r="E19" s="10" t="n">
        <v>20</v>
      </c>
      <c r="F19" s="10" t="n">
        <v>32.7</v>
      </c>
      <c r="G19" s="10" t="n">
        <v>-0.6899999999999999</v>
      </c>
      <c r="H19" s="10" t="n">
        <v>20.01189896036855</v>
      </c>
    </row>
    <row r="20">
      <c r="A20" s="13" t="inlineStr"/>
      <c r="B20" s="10" t="n">
        <v>314.06</v>
      </c>
      <c r="C20" s="10" t="n">
        <v>-2.81</v>
      </c>
      <c r="D20" s="10" t="n">
        <v>1.21</v>
      </c>
      <c r="E20" s="10" t="n">
        <v>14.06</v>
      </c>
      <c r="F20" s="10" t="n">
        <v>17.575</v>
      </c>
      <c r="G20" s="10" t="n">
        <v>-0.08000000000000007</v>
      </c>
      <c r="H20" s="10" t="n">
        <v>14.060227594175</v>
      </c>
    </row>
    <row r="21">
      <c r="A21" s="13" t="inlineStr"/>
      <c r="B21" s="10" t="n">
        <v>319.5465648854962</v>
      </c>
      <c r="C21" s="10" t="n">
        <v>-1.6</v>
      </c>
      <c r="D21" s="10" t="n">
        <v>0</v>
      </c>
      <c r="E21" s="10" t="n">
        <v>5.486564885496193</v>
      </c>
      <c r="F21" s="10" t="n">
        <v>3.319371755725197</v>
      </c>
      <c r="G21" s="10" t="n">
        <v>-1.21</v>
      </c>
      <c r="H21" s="10" t="n">
        <v>5.618406735255099</v>
      </c>
    </row>
    <row r="22">
      <c r="A22" s="14" t="inlineStr">
        <is>
          <t>Tổng cộng dòng chủ</t>
        </is>
      </c>
      <c r="B22" s="15" t="n"/>
      <c r="C22" s="15" t="n"/>
      <c r="D22" s="15" t="n"/>
      <c r="E22" s="15" t="n">
        <v>253.9040194309507</v>
      </c>
      <c r="F22" s="15" t="n">
        <v>461.848122664816</v>
      </c>
      <c r="G22" s="15" t="n">
        <v>0</v>
      </c>
      <c r="H22" s="15" t="n">
        <v>254.1545491062379</v>
      </c>
    </row>
    <row r="23">
      <c r="A23" s="14" t="inlineStr">
        <is>
          <t>Tổng cộng bãi phải</t>
        </is>
      </c>
      <c r="B23" s="15" t="n"/>
      <c r="C23" s="15" t="n"/>
      <c r="D23" s="15" t="n"/>
      <c r="E23" s="15" t="n">
        <v>0</v>
      </c>
      <c r="F23" s="15" t="n">
        <v>0</v>
      </c>
      <c r="G23" s="15" t="n">
        <v>0</v>
      </c>
      <c r="H23" s="1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0" customWidth="1" min="3" max="3"/>
    <col width="14" customWidth="1" min="4" max="4"/>
    <col width="44" customWidth="1" min="5" max="5"/>
  </cols>
  <sheetData>
    <row r="1">
      <c r="A1" s="1" t="inlineStr">
        <is>
          <t>BẢNG TÍNH DIỆN TÍCH THOÁT NƯỚC CẦN THIẾT CẦU</t>
        </is>
      </c>
    </row>
    <row r="2">
      <c r="A2" s="7" t="inlineStr">
        <is>
          <t>CẦU PHÚ KIỂNG - Htk = 3.377 m</t>
        </is>
      </c>
    </row>
    <row r="4">
      <c r="A4" s="5" t="inlineStr">
        <is>
          <t>STT</t>
        </is>
      </c>
      <c r="B4" s="5" t="inlineStr">
        <is>
          <t>Hạng mục tính toán</t>
        </is>
      </c>
      <c r="C4" s="5" t="inlineStr">
        <is>
          <t>Đơn vị</t>
        </is>
      </c>
      <c r="D4" s="5" t="inlineStr">
        <is>
          <t>Trị số</t>
        </is>
      </c>
      <c r="E4" s="5" t="inlineStr">
        <is>
          <t>Ghi chú</t>
        </is>
      </c>
    </row>
    <row r="5">
      <c r="A5" s="16" t="inlineStr">
        <is>
          <t>I</t>
        </is>
      </c>
      <c r="B5" s="17" t="inlineStr">
        <is>
          <t>CÁC THÔNG SỐ LINK TỰ ĐỘNG TỪ MẶT CẮT TẠI Htk:</t>
        </is>
      </c>
      <c r="C5" s="16" t="inlineStr"/>
      <c r="D5" s="18" t="n"/>
      <c r="E5" s="17" t="inlineStr"/>
    </row>
    <row r="6">
      <c r="A6" s="19" t="inlineStr">
        <is>
          <t>1</t>
        </is>
      </c>
      <c r="B6" s="13" t="inlineStr">
        <is>
          <t>Lưu lượng thiết kế: QTK</t>
        </is>
      </c>
      <c r="C6" s="19" t="inlineStr">
        <is>
          <t>m³/s</t>
        </is>
      </c>
      <c r="D6" s="10" t="n">
        <v>4200</v>
      </c>
      <c r="E6" s="13" t="inlineStr"/>
    </row>
    <row r="7">
      <c r="A7" s="19" t="inlineStr">
        <is>
          <t>2</t>
        </is>
      </c>
      <c r="B7" s="13" t="inlineStr">
        <is>
          <t>Diện tích ướt bãi trái: w1</t>
        </is>
      </c>
      <c r="C7" s="19" t="inlineStr">
        <is>
          <t>m²</t>
        </is>
      </c>
      <c r="D7" s="10" t="n">
        <v>24.88890262850132</v>
      </c>
      <c r="E7" s="13" t="inlineStr"/>
    </row>
    <row r="8">
      <c r="A8" s="19" t="inlineStr">
        <is>
          <t>3</t>
        </is>
      </c>
      <c r="B8" s="13" t="inlineStr">
        <is>
          <t>Diện tích ướt bãi phải: w2</t>
        </is>
      </c>
      <c r="C8" s="19" t="inlineStr">
        <is>
          <t>m²</t>
        </is>
      </c>
      <c r="D8" s="10" t="n">
        <v>61.44443878734646</v>
      </c>
      <c r="E8" s="13" t="inlineStr">
        <is>
          <t>wb = 86.33 m²</t>
        </is>
      </c>
    </row>
    <row r="9">
      <c r="A9" s="19" t="inlineStr">
        <is>
          <t>4</t>
        </is>
      </c>
      <c r="B9" s="13" t="inlineStr">
        <is>
          <t>Diện tích ướt lòng chủ: wc</t>
        </is>
      </c>
      <c r="C9" s="19" t="inlineStr">
        <is>
          <t>m²</t>
        </is>
      </c>
      <c r="D9" s="10" t="n">
        <v>1846.843952963912</v>
      </c>
      <c r="E9" s="13" t="inlineStr"/>
    </row>
    <row r="10">
      <c r="A10" s="19" t="inlineStr">
        <is>
          <t>5</t>
        </is>
      </c>
      <c r="B10" s="13" t="inlineStr">
        <is>
          <t>Chiều rộng mặt nước bãi trái: b1</t>
        </is>
      </c>
      <c r="C10" s="19" t="inlineStr">
        <is>
          <t>m</t>
        </is>
      </c>
      <c r="D10" s="10" t="n">
        <v>28.94674186184329</v>
      </c>
      <c r="E10" s="13" t="inlineStr"/>
    </row>
    <row r="11">
      <c r="A11" s="19" t="inlineStr">
        <is>
          <t>6</t>
        </is>
      </c>
      <c r="B11" s="13" t="inlineStr">
        <is>
          <t>Chiều rộng mặt nước bãi phải: b2</t>
        </is>
      </c>
      <c r="C11" s="19" t="inlineStr">
        <is>
          <t>m</t>
        </is>
      </c>
      <c r="D11" s="10" t="n">
        <v>33.31999999999999</v>
      </c>
      <c r="E11" s="13" t="inlineStr">
        <is>
          <t>B = 346.97 m</t>
        </is>
      </c>
    </row>
    <row r="12">
      <c r="A12" s="19" t="inlineStr">
        <is>
          <t>7</t>
        </is>
      </c>
      <c r="B12" s="13" t="inlineStr">
        <is>
          <t>Chiều rộng mặt nước lòng chủ: bc</t>
        </is>
      </c>
      <c r="C12" s="19" t="inlineStr">
        <is>
          <t>m</t>
        </is>
      </c>
      <c r="D12" s="10" t="n">
        <v>284.7</v>
      </c>
      <c r="E12" s="13" t="inlineStr"/>
    </row>
    <row r="13">
      <c r="A13" s="19" t="inlineStr">
        <is>
          <t>8</t>
        </is>
      </c>
      <c r="B13" s="13" t="inlineStr">
        <is>
          <t>Bán kính thủy lực bãi trái: R1</t>
        </is>
      </c>
      <c r="C13" s="19" t="inlineStr">
        <is>
          <t>m</t>
        </is>
      </c>
      <c r="D13" s="11" t="n">
        <v>0.8445226613366846</v>
      </c>
      <c r="E13" s="13" t="inlineStr"/>
    </row>
    <row r="14">
      <c r="A14" s="19" t="inlineStr">
        <is>
          <t>9</t>
        </is>
      </c>
      <c r="B14" s="13" t="inlineStr">
        <is>
          <t>Bán kính thủy lực bãi phải: R2</t>
        </is>
      </c>
      <c r="C14" s="19" t="inlineStr">
        <is>
          <t>m</t>
        </is>
      </c>
      <c r="D14" s="11" t="n">
        <v>1.843148018045606</v>
      </c>
      <c r="E14" s="13" t="inlineStr"/>
    </row>
    <row r="15">
      <c r="A15" s="19" t="inlineStr">
        <is>
          <t>10</t>
        </is>
      </c>
      <c r="B15" s="13" t="inlineStr">
        <is>
          <t>Bán kính thủy lực lòng chủ: Rc</t>
        </is>
      </c>
      <c r="C15" s="19" t="inlineStr">
        <is>
          <t>m</t>
        </is>
      </c>
      <c r="D15" s="11" t="n">
        <v>6.460599905399369</v>
      </c>
      <c r="E15" s="13" t="inlineStr"/>
    </row>
    <row r="16">
      <c r="A16" s="19" t="inlineStr">
        <is>
          <t>11</t>
        </is>
      </c>
      <c r="B16" s="13" t="inlineStr">
        <is>
          <t>Chiều sâu trung bình dòng bãi: hb = wb / (b1+b2)</t>
        </is>
      </c>
      <c r="C16" s="19" t="inlineStr">
        <is>
          <t>m</t>
        </is>
      </c>
      <c r="D16" s="11" t="n">
        <v>1.386508091388549</v>
      </c>
      <c r="E16" s="13" t="inlineStr"/>
    </row>
    <row r="17">
      <c r="A17" s="19" t="inlineStr">
        <is>
          <t>12</t>
        </is>
      </c>
      <c r="B17" s="13" t="inlineStr">
        <is>
          <t>Hệ số nhám bãi trái: n1</t>
        </is>
      </c>
      <c r="C17" s="19" t="inlineStr">
        <is>
          <t>-</t>
        </is>
      </c>
      <c r="D17" s="11" t="n">
        <v>0.2</v>
      </c>
      <c r="E17" s="13" t="inlineStr">
        <is>
          <t>Quy đổi từ 1/n</t>
        </is>
      </c>
    </row>
    <row r="18">
      <c r="A18" s="19" t="inlineStr">
        <is>
          <t>13</t>
        </is>
      </c>
      <c r="B18" s="13" t="inlineStr">
        <is>
          <t>Hệ số nhám bãi phải: n2</t>
        </is>
      </c>
      <c r="C18" s="19" t="inlineStr">
        <is>
          <t>-</t>
        </is>
      </c>
      <c r="D18" s="11" t="n">
        <v>0.2</v>
      </c>
      <c r="E18" s="13" t="inlineStr">
        <is>
          <t>Quy đổi từ 1/n</t>
        </is>
      </c>
    </row>
    <row r="19">
      <c r="A19" s="19" t="inlineStr">
        <is>
          <t>14</t>
        </is>
      </c>
      <c r="B19" s="13" t="inlineStr">
        <is>
          <t>Hệ số nhám lòng chủ: nc</t>
        </is>
      </c>
      <c r="C19" s="19" t="inlineStr">
        <is>
          <t>-</t>
        </is>
      </c>
      <c r="D19" s="11" t="n">
        <v>0.02777777777777778</v>
      </c>
      <c r="E19" s="13" t="inlineStr">
        <is>
          <t>Quy đổi từ 1/n</t>
        </is>
      </c>
    </row>
    <row r="20">
      <c r="A20" s="19" t="inlineStr">
        <is>
          <t>15</t>
        </is>
      </c>
      <c r="B20" s="13" t="inlineStr">
        <is>
          <t>Hệ số phân phối lưu lượng bãi trái: k1 = Q1/Qtk</t>
        </is>
      </c>
      <c r="C20" s="19" t="inlineStr">
        <is>
          <t>-</t>
        </is>
      </c>
      <c r="D20" s="20" t="n">
        <v>0.0004809031675082549</v>
      </c>
      <c r="E20" s="13" t="inlineStr"/>
    </row>
    <row r="21">
      <c r="A21" s="19" t="inlineStr">
        <is>
          <t>16</t>
        </is>
      </c>
      <c r="B21" s="13" t="inlineStr">
        <is>
          <t>Hệ số phân phối lưu lượng bãi phải: k2 = Q2/Qtk</t>
        </is>
      </c>
      <c r="C21" s="19" t="inlineStr">
        <is>
          <t>-</t>
        </is>
      </c>
      <c r="D21" s="20" t="n">
        <v>0.001997562645758212</v>
      </c>
      <c r="E21" s="13" t="inlineStr"/>
    </row>
    <row r="22">
      <c r="A22" s="19" t="inlineStr">
        <is>
          <t>17</t>
        </is>
      </c>
      <c r="B22" s="13" t="inlineStr">
        <is>
          <t>Lưu lượng dòng chủ: Qc</t>
        </is>
      </c>
      <c r="C22" s="19" t="inlineStr">
        <is>
          <t>m³/s</t>
        </is>
      </c>
      <c r="D22" s="10" t="n">
        <v>4189.590443580987</v>
      </c>
      <c r="E22" s="13" t="inlineStr"/>
    </row>
    <row r="23">
      <c r="A23" s="19" t="inlineStr">
        <is>
          <t>18</t>
        </is>
      </c>
      <c r="B23" s="13" t="inlineStr">
        <is>
          <t>Lưu tốc dòng chủ: Vc = Qc / wc</t>
        </is>
      </c>
      <c r="C23" s="19" t="inlineStr">
        <is>
          <t>m/s</t>
        </is>
      </c>
      <c r="D23" s="10" t="n">
        <v>2.268513502105748</v>
      </c>
      <c r="E23" s="13" t="inlineStr"/>
    </row>
    <row r="24">
      <c r="A24" s="16" t="inlineStr">
        <is>
          <t>II</t>
        </is>
      </c>
      <c r="B24" s="17" t="inlineStr">
        <is>
          <t>KẾT QUẢ TÍNH KHẨU ĐỘ THEO THAM SỐ CÔNG TRÌNH:</t>
        </is>
      </c>
      <c r="C24" s="16" t="inlineStr"/>
      <c r="D24" s="18" t="n"/>
      <c r="E24" s="17" t="inlineStr"/>
    </row>
    <row r="25">
      <c r="A25" s="19" t="inlineStr">
        <is>
          <t>1</t>
        </is>
      </c>
      <c r="B25" s="13" t="inlineStr">
        <is>
          <t>Hệ số thắt hẹp dòng chảy: m</t>
        </is>
      </c>
      <c r="C25" s="19" t="inlineStr">
        <is>
          <t>-</t>
        </is>
      </c>
      <c r="D25" s="10" t="n">
        <v>0.98</v>
      </c>
      <c r="E25" s="13" t="inlineStr">
        <is>
          <t>Người dùng nhập</t>
        </is>
      </c>
    </row>
    <row r="26">
      <c r="A26" s="19" t="inlineStr">
        <is>
          <t>2</t>
        </is>
      </c>
      <c r="B26" s="13" t="inlineStr">
        <is>
          <t>Hệ số xói cho phép: P &lt; Pmax</t>
        </is>
      </c>
      <c r="C26" s="19" t="inlineStr">
        <is>
          <t>-</t>
        </is>
      </c>
      <c r="D26" s="10" t="n">
        <v>1.04</v>
      </c>
      <c r="E26" s="13" t="inlineStr">
        <is>
          <t>Người dùng nhập</t>
        </is>
      </c>
    </row>
    <row r="27">
      <c r="A27" s="19" t="inlineStr">
        <is>
          <t>3</t>
        </is>
      </c>
      <c r="B27" s="13" t="inlineStr">
        <is>
          <t>Góc giữa dòng chảy và pháp tuyến tim cầu: α</t>
        </is>
      </c>
      <c r="C27" s="19" t="inlineStr">
        <is>
          <t>độ</t>
        </is>
      </c>
      <c r="D27" s="21" t="n">
        <v>0</v>
      </c>
      <c r="E27" s="13" t="inlineStr">
        <is>
          <t>cosα = 1.0000</t>
        </is>
      </c>
    </row>
    <row r="28">
      <c r="A28" s="19" t="inlineStr">
        <is>
          <t>4</t>
        </is>
      </c>
      <c r="B28" s="13" t="inlineStr">
        <is>
          <t>Chiều sâu trung bình tính khẩu độ: htb</t>
        </is>
      </c>
      <c r="C28" s="19" t="inlineStr">
        <is>
          <t>m</t>
        </is>
      </c>
      <c r="D28" s="11" t="n">
        <v>3.6</v>
      </c>
      <c r="E28" s="13" t="inlineStr">
        <is>
          <t>hc tại Htk = 6.487 m</t>
        </is>
      </c>
    </row>
    <row r="29">
      <c r="A29" s="22" t="inlineStr">
        <is>
          <t>5</t>
        </is>
      </c>
      <c r="B29" s="14" t="inlineStr">
        <is>
          <t>DIỆN TÍCH THOÁT NƯỚC CẦN THIẾT: ωct = Qtk / (m·P·Vc)</t>
        </is>
      </c>
      <c r="C29" s="22" t="inlineStr">
        <is>
          <t>m²</t>
        </is>
      </c>
      <c r="D29" s="15" t="n">
        <v>1816.554813120536</v>
      </c>
      <c r="E29" s="14" t="inlineStr"/>
    </row>
    <row r="30">
      <c r="A30" s="22" t="inlineStr">
        <is>
          <t>6</t>
        </is>
      </c>
      <c r="B30" s="14" t="inlineStr">
        <is>
          <t>KHẨU ĐỘ THOÁT NƯỚC CẦN THIẾT TƯƠNG ĐƯƠNG: Lct = ωct / (htb·cosα)</t>
        </is>
      </c>
      <c r="C30" s="22" t="inlineStr">
        <is>
          <t>m</t>
        </is>
      </c>
      <c r="D30" s="15" t="n">
        <v>504.5985592001489</v>
      </c>
      <c r="E30" s="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0" customWidth="1" min="3" max="3"/>
    <col width="14" customWidth="1" min="4" max="4"/>
    <col width="44" customWidth="1" min="5" max="5"/>
  </cols>
  <sheetData>
    <row r="1">
      <c r="A1" s="1" t="inlineStr">
        <is>
          <t>BẢNG TÍNH MỰC NƯỚC DỀNH TRƯỚC CẦU</t>
        </is>
      </c>
    </row>
    <row r="2">
      <c r="A2" s="7" t="inlineStr">
        <is>
          <t>CẦU PHÚ KIỂNG - (ỨNG VỚI LŨ THIẾT KẾ)</t>
        </is>
      </c>
    </row>
    <row r="4">
      <c r="A4" s="5" t="inlineStr">
        <is>
          <t>STT</t>
        </is>
      </c>
      <c r="B4" s="5" t="inlineStr">
        <is>
          <t>Hạng mục tính toán</t>
        </is>
      </c>
      <c r="C4" s="5" t="inlineStr">
        <is>
          <t>Đơn vị</t>
        </is>
      </c>
      <c r="D4" s="5" t="inlineStr">
        <is>
          <t>Trị số</t>
        </is>
      </c>
      <c r="E4" s="5" t="inlineStr">
        <is>
          <t>Ghi chú</t>
        </is>
      </c>
    </row>
    <row r="5">
      <c r="A5" s="16" t="inlineStr">
        <is>
          <t>I</t>
        </is>
      </c>
      <c r="B5" s="17" t="inlineStr">
        <is>
          <t>CÁC THÔNG SỐ LINK TỰ ĐỘNG TỪ MẶT CẮT TẠI Htk:</t>
        </is>
      </c>
      <c r="C5" s="16" t="inlineStr"/>
      <c r="D5" s="18" t="n"/>
      <c r="E5" s="17" t="inlineStr"/>
    </row>
    <row r="6">
      <c r="A6" s="19" t="inlineStr">
        <is>
          <t>1</t>
        </is>
      </c>
      <c r="B6" s="13" t="inlineStr">
        <is>
          <t>Lưu lượng thiết kế: QTK</t>
        </is>
      </c>
      <c r="C6" s="19" t="inlineStr">
        <is>
          <t>m³/s</t>
        </is>
      </c>
      <c r="D6" s="10" t="n">
        <v>4200</v>
      </c>
      <c r="E6" s="13" t="inlineStr"/>
    </row>
    <row r="7">
      <c r="A7" s="19" t="inlineStr">
        <is>
          <t>2</t>
        </is>
      </c>
      <c r="B7" s="13" t="inlineStr">
        <is>
          <t>Tổng lưu lượng qua hai bãi: ΣQb = Q1+Q2</t>
        </is>
      </c>
      <c r="C7" s="19" t="inlineStr">
        <is>
          <t>m³/s</t>
        </is>
      </c>
      <c r="D7" s="10" t="n">
        <v>10.40955641571916</v>
      </c>
      <c r="E7" s="13" t="inlineStr"/>
    </row>
    <row r="8">
      <c r="A8" s="19" t="inlineStr">
        <is>
          <t>3</t>
        </is>
      </c>
      <c r="B8" s="13" t="inlineStr">
        <is>
          <t>Mực nước thiết kế chuyển về tim cầu: HTK = Htk + Lhl·i</t>
        </is>
      </c>
      <c r="C8" s="19" t="inlineStr">
        <is>
          <t>m</t>
        </is>
      </c>
      <c r="D8" s="11" t="n">
        <v>3.385258967207277</v>
      </c>
      <c r="E8" s="13" t="inlineStr">
        <is>
          <t>Hạ lưu cách tim 25 m</t>
        </is>
      </c>
    </row>
    <row r="9">
      <c r="A9" s="19" t="inlineStr">
        <is>
          <t>4</t>
        </is>
      </c>
      <c r="B9" s="13" t="inlineStr">
        <is>
          <t>Lưu tốc dòng chủ: Vc</t>
        </is>
      </c>
      <c r="C9" s="19" t="inlineStr">
        <is>
          <t>m/s</t>
        </is>
      </c>
      <c r="D9" s="10" t="n">
        <v>2.268513502105748</v>
      </c>
      <c r="E9" s="13" t="inlineStr"/>
    </row>
    <row r="10">
      <c r="A10" s="19" t="inlineStr">
        <is>
          <t>5</t>
        </is>
      </c>
      <c r="B10" s="13" t="inlineStr">
        <is>
          <t>Tổng diện tích ướt hai bãi: Swb = w1+w2</t>
        </is>
      </c>
      <c r="C10" s="19" t="inlineStr">
        <is>
          <t>m²</t>
        </is>
      </c>
      <c r="D10" s="10" t="n">
        <v>86.33334141584777</v>
      </c>
      <c r="E10" s="13" t="inlineStr"/>
    </row>
    <row r="11">
      <c r="A11" s="19" t="inlineStr">
        <is>
          <t>6</t>
        </is>
      </c>
      <c r="B11" s="13" t="inlineStr">
        <is>
          <t>Diện tích ướt lòng chủ: wc</t>
        </is>
      </c>
      <c r="C11" s="19" t="inlineStr">
        <is>
          <t>m²</t>
        </is>
      </c>
      <c r="D11" s="10" t="n">
        <v>1846.843952963912</v>
      </c>
      <c r="E11" s="13" t="inlineStr"/>
    </row>
    <row r="12">
      <c r="A12" s="19" t="inlineStr">
        <is>
          <t>7</t>
        </is>
      </c>
      <c r="B12" s="13" t="inlineStr">
        <is>
          <t>Tổng diện tích ướt thoát nước dưới cầu: Swdc</t>
        </is>
      </c>
      <c r="C12" s="19" t="inlineStr">
        <is>
          <t>m²</t>
        </is>
      </c>
      <c r="D12" s="10" t="n">
        <v>1933.17729437976</v>
      </c>
      <c r="E12" s="13" t="inlineStr"/>
    </row>
    <row r="13">
      <c r="A13" s="19" t="inlineStr">
        <is>
          <t>8</t>
        </is>
      </c>
      <c r="B13" s="13" t="inlineStr">
        <is>
          <t>Diện tích chắn nước do trụ: wtrụ = số trụ·bt·hc</t>
        </is>
      </c>
      <c r="C13" s="19" t="inlineStr">
        <is>
          <t>m²</t>
        </is>
      </c>
      <c r="D13" s="10" t="n">
        <v>0</v>
      </c>
      <c r="E13" s="13" t="inlineStr">
        <is>
          <t>0 trụ × 1.4 m (chỉ hiển thị, không đưa vào ΔZ)</t>
        </is>
      </c>
    </row>
    <row r="14">
      <c r="A14" s="19" t="inlineStr">
        <is>
          <t>9</t>
        </is>
      </c>
      <c r="B14" s="13" t="inlineStr">
        <is>
          <t>Tổng chiều rộng mặt nước: B</t>
        </is>
      </c>
      <c r="C14" s="19" t="inlineStr">
        <is>
          <t>m</t>
        </is>
      </c>
      <c r="D14" s="10" t="n">
        <v>346.9667418618433</v>
      </c>
      <c r="E14" s="13" t="inlineStr"/>
    </row>
    <row r="15">
      <c r="A15" s="19" t="inlineStr">
        <is>
          <t>10</t>
        </is>
      </c>
      <c r="B15" s="13" t="inlineStr">
        <is>
          <t>Chiều sâu trung bình bãi trái: h1 = w1 / b1</t>
        </is>
      </c>
      <c r="C15" s="19" t="inlineStr">
        <is>
          <t>m</t>
        </is>
      </c>
      <c r="D15" s="11" t="n">
        <v>0.8598170649840601</v>
      </c>
      <c r="E15" s="13" t="inlineStr"/>
    </row>
    <row r="16">
      <c r="A16" s="19" t="inlineStr">
        <is>
          <t>11</t>
        </is>
      </c>
      <c r="B16" s="13" t="inlineStr">
        <is>
          <t>Chiều sâu trung bình bãi phải: h2 = w2 / b2</t>
        </is>
      </c>
      <c r="C16" s="19" t="inlineStr">
        <is>
          <t>m</t>
        </is>
      </c>
      <c r="D16" s="11" t="n">
        <v>1.844070791937169</v>
      </c>
      <c r="E16" s="13" t="inlineStr"/>
    </row>
    <row r="17">
      <c r="A17" s="19" t="inlineStr">
        <is>
          <t>12</t>
        </is>
      </c>
      <c r="B17" s="13" t="inlineStr">
        <is>
          <t>Chiều sâu trung bình lòng chủ: hc = wc / bc</t>
        </is>
      </c>
      <c r="C17" s="19" t="inlineStr">
        <is>
          <t>m</t>
        </is>
      </c>
      <c r="D17" s="11" t="n">
        <v>6.486982623687783</v>
      </c>
      <c r="E17" s="13" t="inlineStr"/>
    </row>
    <row r="18">
      <c r="A18" s="19" t="inlineStr">
        <is>
          <t>13</t>
        </is>
      </c>
      <c r="B18" s="13" t="inlineStr">
        <is>
          <t>Gia tốc trọng trường: g</t>
        </is>
      </c>
      <c r="C18" s="19" t="inlineStr">
        <is>
          <t>m/s²</t>
        </is>
      </c>
      <c r="D18" s="10" t="n">
        <v>9.81</v>
      </c>
      <c r="E18" s="13" t="inlineStr"/>
    </row>
    <row r="19">
      <c r="A19" s="16" t="inlineStr">
        <is>
          <t>II</t>
        </is>
      </c>
      <c r="B19" s="17" t="inlineStr">
        <is>
          <t>KẾT QUẢ TÍNH ĐỘ DỀNH:</t>
        </is>
      </c>
      <c r="C19" s="16" t="inlineStr"/>
      <c r="D19" s="18" t="n"/>
      <c r="E19" s="17" t="inlineStr"/>
    </row>
    <row r="20">
      <c r="A20" s="19" t="inlineStr">
        <is>
          <t>1</t>
        </is>
      </c>
      <c r="B20" s="13" t="inlineStr">
        <is>
          <t>Lưu tốc trung bình dưới cầu trước xói: Vm</t>
        </is>
      </c>
      <c r="C20" s="19" t="inlineStr">
        <is>
          <t>m/s</t>
        </is>
      </c>
      <c r="D20" s="10" t="n">
        <v>2.268513502105748</v>
      </c>
      <c r="E20" s="13" t="inlineStr">
        <is>
          <t>Vm = Vc</t>
        </is>
      </c>
    </row>
    <row r="21">
      <c r="A21" s="19" t="inlineStr">
        <is>
          <t>2</t>
        </is>
      </c>
      <c r="B21" s="13" t="inlineStr">
        <is>
          <t>Lưu tốc trung bình mặt cắt tự nhiên: Vo</t>
        </is>
      </c>
      <c r="C21" s="19" t="inlineStr">
        <is>
          <t>m/s</t>
        </is>
      </c>
      <c r="D21" s="10" t="n">
        <v>2.172589142346371</v>
      </c>
      <c r="E21" s="13" t="inlineStr">
        <is>
          <t>Vo = Qtk / Swdc</t>
        </is>
      </c>
    </row>
    <row r="22">
      <c r="A22" s="19" t="inlineStr">
        <is>
          <t>3</t>
        </is>
      </c>
      <c r="B22" s="13" t="inlineStr">
        <is>
          <t>Tỉ số lưu lượng bãi / lưu lượng thiết kế: Kb</t>
        </is>
      </c>
      <c r="C22" s="19" t="inlineStr">
        <is>
          <t>%</t>
        </is>
      </c>
      <c r="D22" s="10" t="n">
        <v>0.2478465813266467</v>
      </c>
      <c r="E22" s="13" t="inlineStr">
        <is>
          <t>Kb = ΣQb/Qtk·100</t>
        </is>
      </c>
    </row>
    <row r="23">
      <c r="A23" s="19" t="inlineStr">
        <is>
          <t>4</t>
        </is>
      </c>
      <c r="B23" s="13" t="inlineStr">
        <is>
          <t>Hệ số η</t>
        </is>
      </c>
      <c r="C23" s="19" t="inlineStr">
        <is>
          <t>-</t>
        </is>
      </c>
      <c r="D23" s="10" t="n">
        <v>0.07000000000000001</v>
      </c>
      <c r="E23" s="13" t="inlineStr">
        <is>
          <t>Người dùng nhập</t>
        </is>
      </c>
    </row>
    <row r="24">
      <c r="A24" s="22" t="inlineStr">
        <is>
          <t>5</t>
        </is>
      </c>
      <c r="B24" s="14" t="inlineStr">
        <is>
          <t>ĐỘ DỀNH TRƯỚC CẦU: ΔZ = η·(Vm² − Vo²)</t>
        </is>
      </c>
      <c r="C24" s="22" t="inlineStr">
        <is>
          <t>m</t>
        </is>
      </c>
      <c r="D24" s="23" t="n">
        <v>0.02982069494563225</v>
      </c>
      <c r="E24" s="14" t="inlineStr">
        <is>
          <t>theo công thức</t>
        </is>
      </c>
    </row>
    <row r="25">
      <c r="A25" s="22" t="inlineStr">
        <is>
          <t>6</t>
        </is>
      </c>
      <c r="B25" s="14" t="inlineStr">
        <is>
          <t>MỰC NƯỚC DỀNH TRƯỚC CẦU: HTKdềnh = HTK + ΔZ</t>
        </is>
      </c>
      <c r="C25" s="22" t="inlineStr">
        <is>
          <t>m</t>
        </is>
      </c>
      <c r="D25" s="23" t="n">
        <v>3.415079662152909</v>
      </c>
      <c r="E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2026-09-30T01:44:46Z</dcterms:created>
  <dcterms:modified xsi:type="dcterms:W3CDTF">2026-09-30T01:44:46Z</dcterms:modified>
</cp:coreProperties>
</file>