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tyTECCO1\5.DA_LongAn-TanNinh\Thuyvan\SolieuKTTV\"/>
    </mc:Choice>
  </mc:AlternateContent>
  <xr:revisionPtr revIDLastSave="0" documentId="8_{9E0831F2-E485-4D9C-8E6F-D555B9C63373}" xr6:coauthVersionLast="47" xr6:coauthVersionMax="47" xr10:uidLastSave="{00000000-0000-0000-0000-000000000000}"/>
  <bookViews>
    <workbookView xWindow="-120" yWindow="-120" windowWidth="29040" windowHeight="15720" xr2:uid="{C7614016-45A0-490D-B4A3-8736B61FC465}"/>
  </bookViews>
  <sheets>
    <sheet name="H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i">#N/A</definedName>
    <definedName name="\j">#N/A</definedName>
    <definedName name="\k">#N/A</definedName>
    <definedName name="______________ht3">{"BMThuat.xls","Am.xls"}</definedName>
    <definedName name="______________plt1207">{0,0}</definedName>
    <definedName name="__________ht3">{"BMThuat.xls","Am.xls"}</definedName>
    <definedName name="__________plt1207">{0,0}</definedName>
    <definedName name="_______q1">[1]QG!$A$1:$AA$1</definedName>
    <definedName name="_____ht3">{"BMThuat.xls","Am.xls"}</definedName>
    <definedName name="_____plt1207">{0,0}</definedName>
    <definedName name="_____q1">[1]QG!$A$1:$AA$1</definedName>
    <definedName name="___q1">[1]QG!$A$1:$AA$1</definedName>
    <definedName name="__ht3">{"BMThuat.xls","Am.xls"}</definedName>
    <definedName name="__q1">[2]QG!$A$1:$AA$1</definedName>
    <definedName name="_1_?">#REF!</definedName>
    <definedName name="_2_?" localSheetId="0">#REF!</definedName>
    <definedName name="_2_?">#REF!</definedName>
    <definedName name="_2_??????">#REF!</definedName>
    <definedName name="_4_??????" localSheetId="0">#REF!</definedName>
    <definedName name="_4_??????">#REF!</definedName>
    <definedName name="_Fill" localSheetId="0" hidden="1">#REF!</definedName>
    <definedName name="_Fill" hidden="1">#REF!</definedName>
    <definedName name="_ht3" localSheetId="0">{"BMThuat.xls","Am.xls"}</definedName>
    <definedName name="_ht3">{"BMThuat.xls","Am.xls"}</definedName>
    <definedName name="_may9800" localSheetId="0">{"BMThuat.xls","Am.xls"}</definedName>
    <definedName name="_may9800">{"BMThuat.xls","Am.xls"}</definedName>
    <definedName name="_mua1" localSheetId="0">#REF!</definedName>
    <definedName name="_mua1">#REF!</definedName>
    <definedName name="_plt1207" localSheetId="0">{0,0}</definedName>
    <definedName name="_plt1207">{0,0}</definedName>
    <definedName name="_q1" localSheetId="0">[1]QG!$A$1:$AA$1</definedName>
    <definedName name="_q1">[4]QG!$A$1:$AA$1</definedName>
    <definedName name="_Qtd78" localSheetId="0">#REF!</definedName>
    <definedName name="_Qtd78">#REF!</definedName>
    <definedName name="_tt2" localSheetId="0">{"BMThuat.xls","Am.xls"}</definedName>
    <definedName name="_tt2">{"BMThuat.xls","Am.xls"}</definedName>
    <definedName name="b" localSheetId="0">#REF!</definedName>
    <definedName name="b">#REF!</definedName>
    <definedName name="begin" localSheetId="0">#REF!</definedName>
    <definedName name="begin">#REF!</definedName>
    <definedName name="BMThuot" localSheetId="0">{"VGTAU-VT.XLS","KYANH-TD.XLS"}</definedName>
    <definedName name="BMThuot">{"VGTAU-VT.XLS","KYANH-TD.XLS"}</definedName>
    <definedName name="cc" localSheetId="0">#REF!</definedName>
    <definedName name="cc">#REF!</definedName>
    <definedName name="current" localSheetId="0">#REF!</definedName>
    <definedName name="current">#REF!</definedName>
    <definedName name="d" localSheetId="0">#REF!</definedName>
    <definedName name="d">#REF!</definedName>
    <definedName name="_xlnm.Database" localSheetId="0">[5]QG!$A$1:$AA$1</definedName>
    <definedName name="_xlnm.Database">[5]QG!$A$1:$AA$1</definedName>
    <definedName name="dg" localSheetId="0">{"BMThuat.xls","Am.xls"}</definedName>
    <definedName name="dg">{"BMThuat.xls","Am.xls"}</definedName>
    <definedName name="Document_array" localSheetId="0">{"BMThuat.xls","Am.xls"}</definedName>
    <definedName name="Document_array">{"BMThuat.xls","Am.xls"}</definedName>
    <definedName name="Documents_array" localSheetId="0">[6]XL4Poppy!$B$1:$B$16</definedName>
    <definedName name="Documents_array">[7]XL4Poppy!$B$1:$B$16</definedName>
    <definedName name="DONG" localSheetId="0">[7]QG!$A$1:$AA$1</definedName>
    <definedName name="DONG">[8]QG!$A$1:$AA$1</definedName>
    <definedName name="e" localSheetId="0">#REF!</definedName>
    <definedName name="e">#REF!</definedName>
    <definedName name="f" localSheetId="0">#REF!</definedName>
    <definedName name="f">#REF!</definedName>
    <definedName name="g" localSheetId="0">#REF!</definedName>
    <definedName name="g">#REF!</definedName>
    <definedName name="gio" localSheetId="0">{"BMThuat.xls","Am.xls"}</definedName>
    <definedName name="gio">{"BMThuat.xls","Am.xls"}</definedName>
    <definedName name="h" localSheetId="0">#REF!</definedName>
    <definedName name="h">#REF!</definedName>
    <definedName name="ha" localSheetId="0">#REF!</definedName>
    <definedName name="ha">#REF!</definedName>
    <definedName name="i" localSheetId="0">#REF!</definedName>
    <definedName name="i">#REF!</definedName>
    <definedName name="j" localSheetId="0">#REF!</definedName>
    <definedName name="j">#REF!</definedName>
    <definedName name="k" localSheetId="0">#REF!</definedName>
    <definedName name="k">#REF!</definedName>
    <definedName name="kplong" localSheetId="0">[5]QG!$A$1:$AA$1</definedName>
    <definedName name="kplong">[5]QG!$A$1:$AA$1</definedName>
    <definedName name="l" localSheetId="0">#REF!</definedName>
    <definedName name="l">#REF!</definedName>
    <definedName name="la" localSheetId="0">[9]QG!$A$1:$AA$1</definedName>
    <definedName name="la">[1]QG!$A$1:$AA$1</definedName>
    <definedName name="lai" localSheetId="0">#REF!</definedName>
    <definedName name="lai">#REF!</definedName>
    <definedName name="Lan" localSheetId="0">#REF!</definedName>
    <definedName name="Lan">#REF!</definedName>
    <definedName name="Lan.hai" localSheetId="0">{"BMThuat.xls","Am.xls"}</definedName>
    <definedName name="Lan.hai">{"BMThuat.xls","Am.xls"}</definedName>
    <definedName name="LU">[7]QG!$A$1:$AA$1</definedName>
    <definedName name="m" localSheetId="0">{"VGTAU-VT.XLS","KYANH-TD.XLS"}</definedName>
    <definedName name="m">{"VGTAU-VT.XLS","KYANH-TD.XLS"}</definedName>
    <definedName name="Maihoa" localSheetId="0">#REF!</definedName>
    <definedName name="Maihoa">#REF!</definedName>
    <definedName name="mauqtdo" localSheetId="0">#REF!</definedName>
    <definedName name="mauqtdo">#REF!</definedName>
    <definedName name="Mua" localSheetId="0">#REF!</definedName>
    <definedName name="Mua">#REF!</definedName>
    <definedName name="NaPo" localSheetId="0">#REF!</definedName>
    <definedName name="NaPo">#REF!</definedName>
    <definedName name="Nhan_xet_cua_dai">"Picture 1"</definedName>
    <definedName name="NHIETMAX" localSheetId="0">{"BMThuat.xls","Am.xls"}</definedName>
    <definedName name="NHIETMAX">{"BMThuat.xls","Am.xls"}</definedName>
    <definedName name="Phan" localSheetId="0">#REF!</definedName>
    <definedName name="Phan">#REF!</definedName>
    <definedName name="PhuOc" localSheetId="0">#REF!</definedName>
    <definedName name="PhuOc">#REF!</definedName>
    <definedName name="po" localSheetId="0">#REF!</definedName>
    <definedName name="po">#REF!</definedName>
    <definedName name="_xlnm.Print_Titles">#N/A</definedName>
    <definedName name="Qd" localSheetId="0">#REF!</definedName>
    <definedName name="Qd">#REF!</definedName>
    <definedName name="_xlnm.Recorder" localSheetId="0">#REF!</definedName>
    <definedName name="_xlnm.Recorder">#REF!</definedName>
    <definedName name="s" localSheetId="0">{"BMThuat.xls","Am.xls"}</definedName>
    <definedName name="s">{"BMThuat.xls","Am.xls"}</definedName>
    <definedName name="SLTV" localSheetId="0">[10]QG!$A$1:$AA$1</definedName>
    <definedName name="SLTV">[11]QG!$A$1:$AA$1</definedName>
    <definedName name="song" localSheetId="0">#REF!</definedName>
    <definedName name="song">#REF!</definedName>
    <definedName name="TanMy" localSheetId="0">#REF!</definedName>
    <definedName name="TanMy">#REF!</definedName>
    <definedName name="td" localSheetId="0">#REF!</definedName>
    <definedName name="td">#REF!</definedName>
    <definedName name="thubinh" localSheetId="0">[12]QG!$A$1:$AA$1</definedName>
    <definedName name="thubinh">[13]QG!$A$1:$AA$1</definedName>
    <definedName name="vx8n" localSheetId="0">#REF!</definedName>
    <definedName name="vx8n">#REF!</definedName>
    <definedName name="x" localSheetId="0">{"BMThuat.xls","Am.xls"}</definedName>
    <definedName name="x">{"BMThuat.xls","Am.xls"}</definedName>
    <definedName name="전" localSheetId="0">#REF!</definedName>
    <definedName name="전">#REF!</definedName>
    <definedName name="주택사업본부" localSheetId="0">#REF!</definedName>
    <definedName name="주택사업본부">#REF!</definedName>
    <definedName name="철구사업본부" localSheetId="0">#REF!</definedName>
    <definedName name="철구사업본부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55" i="1" l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A454" i="1"/>
  <c r="Z454" i="1"/>
  <c r="AA453" i="1"/>
  <c r="Z453" i="1"/>
  <c r="AA452" i="1"/>
  <c r="Z452" i="1"/>
  <c r="AA451" i="1"/>
  <c r="Z451" i="1"/>
  <c r="AA450" i="1"/>
  <c r="Z450" i="1"/>
  <c r="AA449" i="1"/>
  <c r="Z449" i="1"/>
  <c r="AA448" i="1"/>
  <c r="Z448" i="1"/>
  <c r="AA447" i="1"/>
  <c r="Z447" i="1"/>
  <c r="AA446" i="1"/>
  <c r="Z446" i="1"/>
  <c r="AA445" i="1"/>
  <c r="Z445" i="1"/>
  <c r="AA444" i="1"/>
  <c r="Z444" i="1"/>
  <c r="AA443" i="1"/>
  <c r="Z443" i="1"/>
  <c r="AA442" i="1"/>
  <c r="Z442" i="1"/>
  <c r="AA441" i="1"/>
  <c r="Z441" i="1"/>
  <c r="AA440" i="1"/>
  <c r="Z440" i="1"/>
  <c r="AA439" i="1"/>
  <c r="Z439" i="1"/>
  <c r="AA438" i="1"/>
  <c r="Z438" i="1"/>
  <c r="AA437" i="1"/>
  <c r="Z437" i="1"/>
  <c r="AA436" i="1"/>
  <c r="Z436" i="1"/>
  <c r="AA435" i="1"/>
  <c r="Z435" i="1"/>
  <c r="AA434" i="1"/>
  <c r="Z434" i="1"/>
  <c r="AA433" i="1"/>
  <c r="Z433" i="1"/>
  <c r="AA432" i="1"/>
  <c r="Z432" i="1"/>
  <c r="AA431" i="1"/>
  <c r="Z431" i="1"/>
  <c r="AA430" i="1"/>
  <c r="Z430" i="1"/>
  <c r="AA429" i="1"/>
  <c r="Z429" i="1"/>
  <c r="AA428" i="1"/>
  <c r="Z428" i="1"/>
  <c r="AA427" i="1"/>
  <c r="Z427" i="1"/>
  <c r="AA426" i="1"/>
  <c r="Z426" i="1"/>
  <c r="AA425" i="1"/>
  <c r="Z425" i="1"/>
  <c r="AA424" i="1"/>
  <c r="Z424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A416" i="1"/>
  <c r="Z416" i="1"/>
  <c r="AA415" i="1"/>
  <c r="Z415" i="1"/>
  <c r="AA414" i="1"/>
  <c r="Z414" i="1"/>
  <c r="AA413" i="1"/>
  <c r="Z413" i="1"/>
  <c r="AA412" i="1"/>
  <c r="Z412" i="1"/>
  <c r="AA411" i="1"/>
  <c r="Z411" i="1"/>
  <c r="AA410" i="1"/>
  <c r="Z410" i="1"/>
  <c r="AA409" i="1"/>
  <c r="Z409" i="1"/>
  <c r="AA408" i="1"/>
  <c r="Z408" i="1"/>
  <c r="AA407" i="1"/>
  <c r="Z407" i="1"/>
  <c r="AA406" i="1"/>
  <c r="Z406" i="1"/>
  <c r="AA405" i="1"/>
  <c r="Z405" i="1"/>
  <c r="AA404" i="1"/>
  <c r="Z404" i="1"/>
  <c r="AA403" i="1"/>
  <c r="Z403" i="1"/>
  <c r="AA402" i="1"/>
  <c r="Z402" i="1"/>
  <c r="AA401" i="1"/>
  <c r="Z401" i="1"/>
  <c r="AA400" i="1"/>
  <c r="Z400" i="1"/>
  <c r="AA399" i="1"/>
  <c r="Z399" i="1"/>
  <c r="AA398" i="1"/>
  <c r="Z398" i="1"/>
  <c r="AA397" i="1"/>
  <c r="Z397" i="1"/>
  <c r="AA396" i="1"/>
  <c r="Z396" i="1"/>
  <c r="AA395" i="1"/>
  <c r="Z395" i="1"/>
  <c r="AA394" i="1"/>
  <c r="Z394" i="1"/>
  <c r="AA393" i="1"/>
  <c r="Z393" i="1"/>
  <c r="AA392" i="1"/>
  <c r="Z392" i="1"/>
  <c r="AA391" i="1"/>
  <c r="Z391" i="1"/>
  <c r="AA390" i="1"/>
  <c r="Z390" i="1"/>
  <c r="AA389" i="1"/>
  <c r="Z389" i="1"/>
  <c r="AA388" i="1"/>
  <c r="Z388" i="1"/>
  <c r="AA387" i="1"/>
  <c r="Z387" i="1"/>
  <c r="AA386" i="1"/>
  <c r="Z386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A378" i="1"/>
  <c r="Z378" i="1"/>
  <c r="AA377" i="1"/>
  <c r="Z377" i="1"/>
  <c r="AA376" i="1"/>
  <c r="Z376" i="1"/>
  <c r="AA375" i="1"/>
  <c r="Z375" i="1"/>
  <c r="AA374" i="1"/>
  <c r="Z374" i="1"/>
  <c r="AA373" i="1"/>
  <c r="Z373" i="1"/>
  <c r="AA372" i="1"/>
  <c r="Z372" i="1"/>
  <c r="AA371" i="1"/>
  <c r="Z371" i="1"/>
  <c r="AA370" i="1"/>
  <c r="Z370" i="1"/>
  <c r="AA369" i="1"/>
  <c r="Z369" i="1"/>
  <c r="AA368" i="1"/>
  <c r="Z368" i="1"/>
  <c r="AA367" i="1"/>
  <c r="Z367" i="1"/>
  <c r="AA366" i="1"/>
  <c r="Z366" i="1"/>
  <c r="AA365" i="1"/>
  <c r="Z365" i="1"/>
  <c r="AA364" i="1"/>
  <c r="Z364" i="1"/>
  <c r="AA363" i="1"/>
  <c r="Z363" i="1"/>
  <c r="AA362" i="1"/>
  <c r="Z362" i="1"/>
  <c r="AA361" i="1"/>
  <c r="Z361" i="1"/>
  <c r="AA360" i="1"/>
  <c r="Z360" i="1"/>
  <c r="AA359" i="1"/>
  <c r="Z359" i="1"/>
  <c r="AA358" i="1"/>
  <c r="Z358" i="1"/>
  <c r="AA357" i="1"/>
  <c r="Z357" i="1"/>
  <c r="AA356" i="1"/>
  <c r="Z356" i="1"/>
  <c r="AA355" i="1"/>
  <c r="Z355" i="1"/>
  <c r="AA354" i="1"/>
  <c r="Z354" i="1"/>
  <c r="AA353" i="1"/>
  <c r="Z353" i="1"/>
  <c r="AA352" i="1"/>
  <c r="Z352" i="1"/>
  <c r="AA351" i="1"/>
  <c r="Z351" i="1"/>
  <c r="AA350" i="1"/>
  <c r="Z350" i="1"/>
  <c r="AA349" i="1"/>
  <c r="Z349" i="1"/>
  <c r="AA348" i="1"/>
  <c r="Z348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A340" i="1"/>
  <c r="Z340" i="1"/>
  <c r="AA339" i="1"/>
  <c r="Z339" i="1"/>
  <c r="AA338" i="1"/>
  <c r="Z338" i="1"/>
  <c r="AA337" i="1"/>
  <c r="Z337" i="1"/>
  <c r="AA336" i="1"/>
  <c r="Z336" i="1"/>
  <c r="AA335" i="1"/>
  <c r="Z335" i="1"/>
  <c r="AA334" i="1"/>
  <c r="Z334" i="1"/>
  <c r="AA333" i="1"/>
  <c r="Z333" i="1"/>
  <c r="AA332" i="1"/>
  <c r="Z332" i="1"/>
  <c r="AA331" i="1"/>
  <c r="Z331" i="1"/>
  <c r="AA330" i="1"/>
  <c r="Z330" i="1"/>
  <c r="AA329" i="1"/>
  <c r="Z329" i="1"/>
  <c r="AA328" i="1"/>
  <c r="Z328" i="1"/>
  <c r="AA327" i="1"/>
  <c r="Z327" i="1"/>
  <c r="AA326" i="1"/>
  <c r="Z326" i="1"/>
  <c r="AA325" i="1"/>
  <c r="Z325" i="1"/>
  <c r="AA324" i="1"/>
  <c r="Z324" i="1"/>
  <c r="AA323" i="1"/>
  <c r="Z323" i="1"/>
  <c r="AA322" i="1"/>
  <c r="Z322" i="1"/>
  <c r="AA321" i="1"/>
  <c r="Z321" i="1"/>
  <c r="AA320" i="1"/>
  <c r="Z320" i="1"/>
  <c r="AA319" i="1"/>
  <c r="Z319" i="1"/>
  <c r="AA318" i="1"/>
  <c r="Z318" i="1"/>
  <c r="AA317" i="1"/>
  <c r="Z317" i="1"/>
  <c r="AA316" i="1"/>
  <c r="Z316" i="1"/>
  <c r="AA315" i="1"/>
  <c r="Z315" i="1"/>
  <c r="AA314" i="1"/>
  <c r="Z314" i="1"/>
  <c r="AA313" i="1"/>
  <c r="Z313" i="1"/>
  <c r="AA312" i="1"/>
  <c r="Z312" i="1"/>
  <c r="AA311" i="1"/>
  <c r="Z311" i="1"/>
  <c r="AA310" i="1"/>
  <c r="Z310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A302" i="1"/>
  <c r="Z302" i="1"/>
  <c r="AA301" i="1"/>
  <c r="Z301" i="1"/>
  <c r="AA300" i="1"/>
  <c r="Z300" i="1"/>
  <c r="AA299" i="1"/>
  <c r="Z299" i="1"/>
  <c r="AA298" i="1"/>
  <c r="Z298" i="1"/>
  <c r="AA297" i="1"/>
  <c r="Z297" i="1"/>
  <c r="AA296" i="1"/>
  <c r="Z296" i="1"/>
  <c r="AA295" i="1"/>
  <c r="Z295" i="1"/>
  <c r="AA294" i="1"/>
  <c r="Z294" i="1"/>
  <c r="AA293" i="1"/>
  <c r="Z293" i="1"/>
  <c r="AA292" i="1"/>
  <c r="Z292" i="1"/>
  <c r="AA291" i="1"/>
  <c r="Z291" i="1"/>
  <c r="AA290" i="1"/>
  <c r="Z290" i="1"/>
  <c r="AA289" i="1"/>
  <c r="Z289" i="1"/>
  <c r="AA288" i="1"/>
  <c r="Z288" i="1"/>
  <c r="AA287" i="1"/>
  <c r="Z287" i="1"/>
  <c r="AA286" i="1"/>
  <c r="Z286" i="1"/>
  <c r="AA285" i="1"/>
  <c r="Z285" i="1"/>
  <c r="AA284" i="1"/>
  <c r="Z284" i="1"/>
  <c r="AA283" i="1"/>
  <c r="Z283" i="1"/>
  <c r="AA282" i="1"/>
  <c r="Z282" i="1"/>
  <c r="AA281" i="1"/>
  <c r="Z281" i="1"/>
  <c r="AA280" i="1"/>
  <c r="Z280" i="1"/>
  <c r="AA279" i="1"/>
  <c r="Z279" i="1"/>
  <c r="AA278" i="1"/>
  <c r="Z278" i="1"/>
  <c r="AA277" i="1"/>
  <c r="Z277" i="1"/>
  <c r="AA276" i="1"/>
  <c r="Z276" i="1"/>
  <c r="AA275" i="1"/>
  <c r="Z275" i="1"/>
  <c r="AA274" i="1"/>
  <c r="Z274" i="1"/>
  <c r="AA273" i="1"/>
  <c r="Z273" i="1"/>
  <c r="AA272" i="1"/>
  <c r="Z272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A264" i="1"/>
  <c r="Z264" i="1"/>
  <c r="AA263" i="1"/>
  <c r="Z263" i="1"/>
  <c r="AA262" i="1"/>
  <c r="Z262" i="1"/>
  <c r="AA261" i="1"/>
  <c r="Z261" i="1"/>
  <c r="AA260" i="1"/>
  <c r="Z260" i="1"/>
  <c r="AA259" i="1"/>
  <c r="Z259" i="1"/>
  <c r="AA258" i="1"/>
  <c r="Z258" i="1"/>
  <c r="AA257" i="1"/>
  <c r="Z257" i="1"/>
  <c r="AA256" i="1"/>
  <c r="Z256" i="1"/>
  <c r="AA255" i="1"/>
  <c r="Z255" i="1"/>
  <c r="AA254" i="1"/>
  <c r="Z254" i="1"/>
  <c r="AA253" i="1"/>
  <c r="Z253" i="1"/>
  <c r="AA252" i="1"/>
  <c r="Z252" i="1"/>
  <c r="AA251" i="1"/>
  <c r="Z251" i="1"/>
  <c r="AA250" i="1"/>
  <c r="Z250" i="1"/>
  <c r="AA249" i="1"/>
  <c r="Z249" i="1"/>
  <c r="AA248" i="1"/>
  <c r="Z248" i="1"/>
  <c r="AA247" i="1"/>
  <c r="Z247" i="1"/>
  <c r="AA246" i="1"/>
  <c r="Z246" i="1"/>
  <c r="AA245" i="1"/>
  <c r="Z245" i="1"/>
  <c r="AA244" i="1"/>
  <c r="Z244" i="1"/>
  <c r="AA243" i="1"/>
  <c r="Z243" i="1"/>
  <c r="AA242" i="1"/>
  <c r="Z242" i="1"/>
  <c r="AA241" i="1"/>
  <c r="Z241" i="1"/>
  <c r="AA240" i="1"/>
  <c r="Z240" i="1"/>
  <c r="AA239" i="1"/>
  <c r="Z239" i="1"/>
  <c r="AA238" i="1"/>
  <c r="Z238" i="1"/>
  <c r="AA237" i="1"/>
  <c r="Z237" i="1"/>
  <c r="AA236" i="1"/>
  <c r="Z236" i="1"/>
  <c r="AA235" i="1"/>
  <c r="Z235" i="1"/>
  <c r="AA234" i="1"/>
  <c r="Z234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A226" i="1"/>
  <c r="Z226" i="1"/>
  <c r="AA225" i="1"/>
  <c r="Z225" i="1"/>
  <c r="AA224" i="1"/>
  <c r="Z224" i="1"/>
  <c r="AA223" i="1"/>
  <c r="Z223" i="1"/>
  <c r="AA222" i="1"/>
  <c r="Z222" i="1"/>
  <c r="AA221" i="1"/>
  <c r="Z221" i="1"/>
  <c r="AA220" i="1"/>
  <c r="Z220" i="1"/>
  <c r="AA219" i="1"/>
  <c r="Z219" i="1"/>
  <c r="AA218" i="1"/>
  <c r="Z218" i="1"/>
  <c r="AA217" i="1"/>
  <c r="Z217" i="1"/>
  <c r="AA216" i="1"/>
  <c r="Z216" i="1"/>
  <c r="AA215" i="1"/>
  <c r="Z215" i="1"/>
  <c r="AA214" i="1"/>
  <c r="Z214" i="1"/>
  <c r="AA213" i="1"/>
  <c r="Z213" i="1"/>
  <c r="AA212" i="1"/>
  <c r="Z212" i="1"/>
  <c r="AA211" i="1"/>
  <c r="Z211" i="1"/>
  <c r="AA210" i="1"/>
  <c r="Z210" i="1"/>
  <c r="AA209" i="1"/>
  <c r="Z209" i="1"/>
  <c r="AA208" i="1"/>
  <c r="Z208" i="1"/>
  <c r="AA207" i="1"/>
  <c r="Z207" i="1"/>
  <c r="AA206" i="1"/>
  <c r="Z206" i="1"/>
  <c r="AA205" i="1"/>
  <c r="Z205" i="1"/>
  <c r="AA204" i="1"/>
  <c r="Z204" i="1"/>
  <c r="AA203" i="1"/>
  <c r="Z203" i="1"/>
  <c r="AA202" i="1"/>
  <c r="Z202" i="1"/>
  <c r="AA201" i="1"/>
  <c r="Z201" i="1"/>
  <c r="AA200" i="1"/>
  <c r="Z200" i="1"/>
  <c r="AA199" i="1"/>
  <c r="Z199" i="1"/>
  <c r="AA198" i="1"/>
  <c r="Z198" i="1"/>
  <c r="AA197" i="1"/>
  <c r="Z197" i="1"/>
  <c r="AA196" i="1"/>
  <c r="Z196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A188" i="1"/>
  <c r="Z188" i="1"/>
  <c r="AA187" i="1"/>
  <c r="Z187" i="1"/>
  <c r="AA186" i="1"/>
  <c r="Z186" i="1"/>
  <c r="AA185" i="1"/>
  <c r="Z185" i="1"/>
  <c r="AA184" i="1"/>
  <c r="Z184" i="1"/>
  <c r="AA183" i="1"/>
  <c r="Z183" i="1"/>
  <c r="AA182" i="1"/>
  <c r="Z182" i="1"/>
  <c r="AA181" i="1"/>
  <c r="Z181" i="1"/>
  <c r="AA180" i="1"/>
  <c r="Z180" i="1"/>
  <c r="AA179" i="1"/>
  <c r="Z179" i="1"/>
  <c r="AA178" i="1"/>
  <c r="Z178" i="1"/>
  <c r="AA177" i="1"/>
  <c r="Z177" i="1"/>
  <c r="AA176" i="1"/>
  <c r="Z176" i="1"/>
  <c r="AA175" i="1"/>
  <c r="Z175" i="1"/>
  <c r="AA174" i="1"/>
  <c r="Z174" i="1"/>
  <c r="AA173" i="1"/>
  <c r="Z173" i="1"/>
  <c r="AA172" i="1"/>
  <c r="Z172" i="1"/>
  <c r="AA171" i="1"/>
  <c r="Z171" i="1"/>
  <c r="AA170" i="1"/>
  <c r="Z170" i="1"/>
  <c r="AA169" i="1"/>
  <c r="Z169" i="1"/>
  <c r="AA168" i="1"/>
  <c r="Z168" i="1"/>
  <c r="AA167" i="1"/>
  <c r="Z167" i="1"/>
  <c r="AA166" i="1"/>
  <c r="Z166" i="1"/>
  <c r="AA165" i="1"/>
  <c r="Z165" i="1"/>
  <c r="AA164" i="1"/>
  <c r="Z164" i="1"/>
  <c r="AA163" i="1"/>
  <c r="Z163" i="1"/>
  <c r="AA162" i="1"/>
  <c r="Z162" i="1"/>
  <c r="AA161" i="1"/>
  <c r="Z161" i="1"/>
  <c r="AA160" i="1"/>
  <c r="Z160" i="1"/>
  <c r="AA159" i="1"/>
  <c r="Z159" i="1"/>
  <c r="AA158" i="1"/>
  <c r="Z158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A150" i="1"/>
  <c r="Z150" i="1"/>
  <c r="AA149" i="1"/>
  <c r="Z149" i="1"/>
  <c r="AA148" i="1"/>
  <c r="Z148" i="1"/>
  <c r="AA147" i="1"/>
  <c r="Z147" i="1"/>
  <c r="AA146" i="1"/>
  <c r="Z146" i="1"/>
  <c r="AA145" i="1"/>
  <c r="Z145" i="1"/>
  <c r="AA144" i="1"/>
  <c r="Z144" i="1"/>
  <c r="AA143" i="1"/>
  <c r="Z143" i="1"/>
  <c r="AA142" i="1"/>
  <c r="Z142" i="1"/>
  <c r="AA141" i="1"/>
  <c r="Z141" i="1"/>
  <c r="AA140" i="1"/>
  <c r="Z140" i="1"/>
  <c r="AA139" i="1"/>
  <c r="Z139" i="1"/>
  <c r="AA138" i="1"/>
  <c r="Z138" i="1"/>
  <c r="AA137" i="1"/>
  <c r="Z137" i="1"/>
  <c r="AA136" i="1"/>
  <c r="Z136" i="1"/>
  <c r="AA135" i="1"/>
  <c r="Z135" i="1"/>
  <c r="AA134" i="1"/>
  <c r="Z134" i="1"/>
  <c r="AA133" i="1"/>
  <c r="Z133" i="1"/>
  <c r="AA132" i="1"/>
  <c r="Z132" i="1"/>
  <c r="AA131" i="1"/>
  <c r="Z131" i="1"/>
  <c r="AA130" i="1"/>
  <c r="Z130" i="1"/>
  <c r="AA129" i="1"/>
  <c r="Z129" i="1"/>
  <c r="AA128" i="1"/>
  <c r="Z128" i="1"/>
  <c r="AA127" i="1"/>
  <c r="Z127" i="1"/>
  <c r="AA126" i="1"/>
  <c r="Z126" i="1"/>
  <c r="AA125" i="1"/>
  <c r="Z125" i="1"/>
  <c r="AA124" i="1"/>
  <c r="Z124" i="1"/>
  <c r="AA123" i="1"/>
  <c r="Z123" i="1"/>
  <c r="AA122" i="1"/>
  <c r="Z122" i="1"/>
  <c r="AA121" i="1"/>
  <c r="Z121" i="1"/>
  <c r="AA120" i="1"/>
  <c r="Z120" i="1"/>
  <c r="O117" i="1"/>
  <c r="O155" i="1" s="1"/>
  <c r="O193" i="1" s="1"/>
  <c r="O231" i="1" s="1"/>
  <c r="O269" i="1" s="1"/>
  <c r="O307" i="1" s="1"/>
  <c r="O345" i="1" s="1"/>
  <c r="O383" i="1" s="1"/>
  <c r="O421" i="1" s="1"/>
  <c r="B117" i="1"/>
  <c r="B155" i="1" s="1"/>
  <c r="B193" i="1" s="1"/>
  <c r="B231" i="1" s="1"/>
  <c r="B269" i="1" s="1"/>
  <c r="B307" i="1" s="1"/>
  <c r="B345" i="1" s="1"/>
  <c r="B383" i="1" s="1"/>
  <c r="B421" i="1" s="1"/>
  <c r="A116" i="1"/>
  <c r="A154" i="1" s="1"/>
  <c r="A192" i="1" s="1"/>
  <c r="A230" i="1" s="1"/>
  <c r="A268" i="1" s="1"/>
  <c r="A306" i="1" s="1"/>
  <c r="A344" i="1" s="1"/>
  <c r="A382" i="1" s="1"/>
  <c r="A420" i="1" s="1"/>
  <c r="A115" i="1"/>
  <c r="A153" i="1" s="1"/>
  <c r="A191" i="1" s="1"/>
  <c r="A229" i="1" s="1"/>
  <c r="A267" i="1" s="1"/>
  <c r="A305" i="1" s="1"/>
  <c r="A343" i="1" s="1"/>
  <c r="A381" i="1" s="1"/>
  <c r="A419" i="1" s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A112" i="1"/>
  <c r="Z112" i="1"/>
  <c r="AA111" i="1"/>
  <c r="Z111" i="1"/>
  <c r="AA110" i="1"/>
  <c r="Z110" i="1"/>
  <c r="AA109" i="1"/>
  <c r="Z109" i="1"/>
  <c r="AA108" i="1"/>
  <c r="Z108" i="1"/>
  <c r="AA107" i="1"/>
  <c r="Z107" i="1"/>
  <c r="AA106" i="1"/>
  <c r="Z106" i="1"/>
  <c r="AA105" i="1"/>
  <c r="Z105" i="1"/>
  <c r="AA104" i="1"/>
  <c r="Z104" i="1"/>
  <c r="AA103" i="1"/>
  <c r="Z103" i="1"/>
  <c r="AA102" i="1"/>
  <c r="Z102" i="1"/>
  <c r="AA101" i="1"/>
  <c r="Z101" i="1"/>
  <c r="AA100" i="1"/>
  <c r="Z100" i="1"/>
  <c r="AA99" i="1"/>
  <c r="Z99" i="1"/>
  <c r="AA98" i="1"/>
  <c r="Z98" i="1"/>
  <c r="AA97" i="1"/>
  <c r="Z97" i="1"/>
  <c r="AA96" i="1"/>
  <c r="Z96" i="1"/>
  <c r="AA95" i="1"/>
  <c r="Z95" i="1"/>
  <c r="AA94" i="1"/>
  <c r="Z94" i="1"/>
  <c r="AA93" i="1"/>
  <c r="Z93" i="1"/>
  <c r="AA92" i="1"/>
  <c r="Z92" i="1"/>
  <c r="AA91" i="1"/>
  <c r="Z91" i="1"/>
  <c r="AA90" i="1"/>
  <c r="Z90" i="1"/>
  <c r="AA89" i="1"/>
  <c r="Z89" i="1"/>
  <c r="AA88" i="1"/>
  <c r="Z88" i="1"/>
  <c r="AA87" i="1"/>
  <c r="Z87" i="1"/>
  <c r="AA86" i="1"/>
  <c r="Z86" i="1"/>
  <c r="AA85" i="1"/>
  <c r="Z85" i="1"/>
  <c r="AA84" i="1"/>
  <c r="Z84" i="1"/>
  <c r="AA83" i="1"/>
  <c r="Z83" i="1"/>
  <c r="AA82" i="1"/>
  <c r="Z82" i="1"/>
  <c r="O79" i="1"/>
  <c r="B79" i="1"/>
  <c r="A78" i="1"/>
  <c r="A77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A74" i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AA67" i="1"/>
  <c r="Z67" i="1"/>
  <c r="AA66" i="1"/>
  <c r="Z66" i="1"/>
  <c r="AA65" i="1"/>
  <c r="Z65" i="1"/>
  <c r="AA64" i="1"/>
  <c r="Z64" i="1"/>
  <c r="AA63" i="1"/>
  <c r="Z63" i="1"/>
  <c r="AA62" i="1"/>
  <c r="Z62" i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AA46" i="1"/>
  <c r="Z46" i="1"/>
  <c r="AA45" i="1"/>
  <c r="Z45" i="1"/>
  <c r="AA44" i="1"/>
  <c r="Z44" i="1"/>
  <c r="O41" i="1"/>
  <c r="B41" i="1"/>
  <c r="A40" i="1"/>
  <c r="A39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10" i="1"/>
  <c r="Z10" i="1"/>
  <c r="AA9" i="1"/>
  <c r="Z9" i="1"/>
  <c r="AA8" i="1"/>
  <c r="Z8" i="1"/>
  <c r="AA7" i="1"/>
  <c r="Z7" i="1"/>
  <c r="AA6" i="1"/>
  <c r="Z6" i="1"/>
</calcChain>
</file>

<file path=xl/sharedStrings.xml><?xml version="1.0" encoding="utf-8"?>
<sst xmlns="http://schemas.openxmlformats.org/spreadsheetml/2006/main" count="122" uniqueCount="11">
  <si>
    <t>Trạm: Gò Dầu Hạ</t>
  </si>
  <si>
    <t>Sông: Vàm Cỏ Đông</t>
  </si>
  <si>
    <t>MỰC NƯỚC TỪNG GIỜ</t>
  </si>
  <si>
    <t>Tháng:</t>
  </si>
  <si>
    <t xml:space="preserve">NĂM: </t>
  </si>
  <si>
    <t xml:space="preserve">Đơn vị :  cm  </t>
  </si>
  <si>
    <t>Giờ</t>
  </si>
  <si>
    <t>Tổng</t>
  </si>
  <si>
    <t>T.B.</t>
  </si>
  <si>
    <t>Ngày</t>
  </si>
  <si>
    <t>Số liệu mực nước tính theo cao độ Quốc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</si>
</sst>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2"/>
      <color indexed="63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name val=".VnTime"/>
      <family val="2"/>
    </font>
    <font>
      <sz val="11"/>
      <color indexed="8"/>
      <name val="Arial"/>
      <family val="2"/>
    </font>
    <font>
      <sz val="11"/>
      <color indexed="8"/>
      <name val=".VnTime"/>
      <family val="2"/>
    </font>
    <font>
      <sz val="10"/>
      <color indexed="8"/>
      <name val=".VnTime"/>
      <family val="2"/>
    </font>
    <font>
      <sz val="10"/>
      <color indexed="8"/>
      <name val="Arial"/>
      <family val="2"/>
    </font>
    <font>
      <sz val="11"/>
      <color indexed="8"/>
      <name val=".VnHelvetInsH"/>
      <family val="2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indexed="8"/>
      <name val=".VnTime"/>
      <family val="2"/>
    </font>
    <font>
      <b/>
      <sz val="11"/>
      <color indexed="8"/>
      <name val=".VnTime"/>
      <family val="2"/>
    </font>
    <font>
      <sz val="10"/>
      <color indexed="8"/>
      <name val=".VnHelvetInsH"/>
      <family val="2"/>
    </font>
    <font>
      <sz val="10"/>
      <color indexed="8"/>
      <name val="Times New Roman"/>
      <family val="1"/>
    </font>
    <font>
      <sz val="9"/>
      <color indexed="8"/>
      <name val=".VnTime"/>
      <family val="2"/>
    </font>
    <font>
      <b/>
      <sz val="9"/>
      <color indexed="8"/>
      <name val=".VnTime"/>
      <family val="2"/>
    </font>
    <font>
      <sz val="10"/>
      <color indexed="8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horizontal="center" vertical="center"/>
    </xf>
    <xf numFmtId="0" fontId="18" fillId="0" borderId="0"/>
  </cellStyleXfs>
  <cellXfs count="58">
    <xf numFmtId="0" fontId="0" fillId="0" borderId="0" xfId="0"/>
    <xf numFmtId="0" fontId="1" fillId="0" borderId="0" xfId="0" applyFont="1" applyAlignment="1">
      <alignment horizontal="left"/>
    </xf>
    <xf numFmtId="0" fontId="3" fillId="2" borderId="0" xfId="1" applyFont="1" applyFill="1"/>
    <xf numFmtId="0" fontId="4" fillId="2" borderId="0" xfId="1" applyFont="1" applyFill="1"/>
    <xf numFmtId="0" fontId="5" fillId="2" borderId="0" xfId="1" applyFont="1" applyFill="1"/>
    <xf numFmtId="0" fontId="6" fillId="2" borderId="0" xfId="1" applyFont="1" applyFill="1" applyAlignment="1">
      <alignment vertical="center"/>
    </xf>
    <xf numFmtId="0" fontId="6" fillId="2" borderId="0" xfId="1" applyFont="1" applyFill="1"/>
    <xf numFmtId="0" fontId="7" fillId="0" borderId="0" xfId="2" applyFont="1" applyAlignment="1">
      <alignment vertical="center"/>
    </xf>
    <xf numFmtId="0" fontId="2" fillId="0" borderId="0" xfId="3"/>
    <xf numFmtId="0" fontId="8" fillId="2" borderId="0" xfId="1" applyFont="1" applyFill="1"/>
    <xf numFmtId="0" fontId="9" fillId="2" borderId="0" xfId="1" applyFont="1" applyFill="1" applyAlignment="1">
      <alignment horizontal="centerContinuous" vertical="center"/>
    </xf>
    <xf numFmtId="0" fontId="5" fillId="2" borderId="0" xfId="1" applyFont="1" applyFill="1" applyAlignment="1">
      <alignment horizontal="centerContinuous"/>
    </xf>
    <xf numFmtId="0" fontId="10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/>
    </xf>
    <xf numFmtId="0" fontId="11" fillId="2" borderId="1" xfId="3" applyFont="1" applyFill="1" applyBorder="1"/>
    <xf numFmtId="0" fontId="12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 applyAlignment="1">
      <alignment horizontal="centerContinuous" vertical="center"/>
    </xf>
    <xf numFmtId="0" fontId="8" fillId="2" borderId="0" xfId="1" applyFont="1" applyFill="1" applyAlignment="1">
      <alignment horizontal="left"/>
    </xf>
    <xf numFmtId="0" fontId="15" fillId="2" borderId="0" xfId="1" applyFont="1" applyFill="1" applyAlignment="1">
      <alignment horizontal="left" vertical="center"/>
    </xf>
    <xf numFmtId="1" fontId="11" fillId="2" borderId="1" xfId="1" applyNumberFormat="1" applyFont="1" applyFill="1" applyBorder="1" applyAlignment="1">
      <alignment vertical="center"/>
    </xf>
    <xf numFmtId="0" fontId="11" fillId="2" borderId="1" xfId="1" applyFont="1" applyFill="1" applyBorder="1" applyAlignment="1">
      <alignment vertical="center"/>
    </xf>
    <xf numFmtId="0" fontId="11" fillId="2" borderId="0" xfId="1" applyFont="1" applyFill="1" applyAlignment="1">
      <alignment vertical="center"/>
    </xf>
    <xf numFmtId="0" fontId="11" fillId="0" borderId="2" xfId="1" applyFont="1" applyBorder="1" applyAlignment="1">
      <alignment horizontal="right" vertical="center"/>
    </xf>
    <xf numFmtId="0" fontId="6" fillId="0" borderId="2" xfId="1" applyFont="1" applyBorder="1" applyAlignment="1">
      <alignment horizontal="center" vertical="center"/>
    </xf>
    <xf numFmtId="1" fontId="6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2" fontId="6" fillId="0" borderId="3" xfId="1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6" fillId="0" borderId="5" xfId="3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/>
    </xf>
    <xf numFmtId="0" fontId="16" fillId="0" borderId="7" xfId="3" applyFont="1" applyBorder="1" applyAlignment="1">
      <alignment horizontal="center" vertical="center"/>
    </xf>
    <xf numFmtId="1" fontId="7" fillId="0" borderId="4" xfId="1" applyNumberFormat="1" applyFont="1" applyBorder="1" applyAlignment="1">
      <alignment horizontal="right" vertical="center"/>
    </xf>
    <xf numFmtId="1" fontId="7" fillId="2" borderId="4" xfId="4" applyNumberFormat="1" applyFont="1" applyFill="1" applyBorder="1" applyAlignment="1">
      <alignment horizontal="right" vertical="center"/>
    </xf>
    <xf numFmtId="0" fontId="7" fillId="0" borderId="8" xfId="1" applyFont="1" applyBorder="1" applyAlignment="1">
      <alignment horizontal="center" vertical="center"/>
    </xf>
    <xf numFmtId="0" fontId="16" fillId="0" borderId="9" xfId="3" applyFont="1" applyBorder="1" applyAlignment="1">
      <alignment horizontal="center" vertical="center"/>
    </xf>
    <xf numFmtId="0" fontId="16" fillId="0" borderId="10" xfId="3" applyFont="1" applyBorder="1" applyAlignment="1">
      <alignment horizontal="center" vertical="center"/>
    </xf>
    <xf numFmtId="0" fontId="16" fillId="0" borderId="11" xfId="3" applyFont="1" applyBorder="1" applyAlignment="1">
      <alignment horizontal="center" vertical="center"/>
    </xf>
    <xf numFmtId="1" fontId="7" fillId="0" borderId="12" xfId="1" applyNumberFormat="1" applyFont="1" applyBorder="1" applyAlignment="1">
      <alignment horizontal="right" vertical="center"/>
    </xf>
    <xf numFmtId="1" fontId="7" fillId="2" borderId="12" xfId="4" applyNumberFormat="1" applyFont="1" applyFill="1" applyBorder="1" applyAlignment="1">
      <alignment horizontal="right" vertical="center"/>
    </xf>
    <xf numFmtId="0" fontId="7" fillId="0" borderId="12" xfId="1" applyFont="1" applyBorder="1" applyAlignment="1">
      <alignment horizontal="center" vertical="center"/>
    </xf>
    <xf numFmtId="0" fontId="16" fillId="0" borderId="13" xfId="3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1" fontId="7" fillId="0" borderId="16" xfId="1" applyNumberFormat="1" applyFont="1" applyBorder="1" applyAlignment="1">
      <alignment horizontal="right" vertical="center"/>
    </xf>
    <xf numFmtId="1" fontId="7" fillId="2" borderId="16" xfId="4" applyNumberFormat="1" applyFont="1" applyFill="1" applyBorder="1" applyAlignment="1">
      <alignment horizontal="right" vertical="center"/>
    </xf>
    <xf numFmtId="1" fontId="16" fillId="0" borderId="17" xfId="1" applyNumberFormat="1" applyFont="1" applyBorder="1" applyAlignment="1">
      <alignment horizontal="right" vertical="center"/>
    </xf>
    <xf numFmtId="1" fontId="16" fillId="0" borderId="18" xfId="1" applyNumberFormat="1" applyFont="1" applyBorder="1" applyAlignment="1">
      <alignment horizontal="right" vertical="center"/>
    </xf>
    <xf numFmtId="1" fontId="17" fillId="0" borderId="3" xfId="1" applyNumberFormat="1" applyFont="1" applyBorder="1" applyAlignment="1">
      <alignment horizontal="right" vertical="center"/>
    </xf>
    <xf numFmtId="1" fontId="17" fillId="2" borderId="3" xfId="4" applyNumberFormat="1" applyFont="1" applyFill="1" applyBorder="1" applyAlignment="1">
      <alignment horizontal="right" vertical="center"/>
    </xf>
    <xf numFmtId="0" fontId="11" fillId="2" borderId="19" xfId="5" applyFont="1" applyFill="1" applyBorder="1"/>
    <xf numFmtId="0" fontId="5" fillId="0" borderId="0" xfId="1" applyFont="1"/>
    <xf numFmtId="0" fontId="1" fillId="0" borderId="0" xfId="5" applyFont="1"/>
    <xf numFmtId="0" fontId="11" fillId="2" borderId="1" xfId="5" applyFont="1" applyFill="1" applyBorder="1"/>
    <xf numFmtId="0" fontId="11" fillId="2" borderId="19" xfId="3" applyFont="1" applyFill="1" applyBorder="1"/>
  </cellXfs>
  <cellStyles count="6">
    <cellStyle name="Normal" xfId="0" builtinId="0"/>
    <cellStyle name="Normal - Style1 2" xfId="3" xr:uid="{4D70591B-12DD-4882-A5E4-B9DEE843D6D9}"/>
    <cellStyle name="Normal 7" xfId="5" xr:uid="{00741245-9653-4C01-A5B4-9876A16E51ED}"/>
    <cellStyle name="Normal_HG-BTRI1" xfId="4" xr:uid="{84E0E591-AD18-4E7C-B947-6E0235E95FA4}"/>
    <cellStyle name="Normal_MAUTABLE 2 2" xfId="1" xr:uid="{5468677E-0132-4C0E-BAF8-0DA2ADAD6272}"/>
    <cellStyle name="Normal_XUAN 2 2" xfId="2" xr:uid="{111DBE11-565F-43ED-BB27-36F576586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" name="Line 43">
          <a:extLst>
            <a:ext uri="{FF2B5EF4-FFF2-40B4-BE49-F238E27FC236}">
              <a16:creationId xmlns:a16="http://schemas.microsoft.com/office/drawing/2014/main" id="{492604D4-C03B-4340-AD14-36B725C4469E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" name="Line 45">
          <a:extLst>
            <a:ext uri="{FF2B5EF4-FFF2-40B4-BE49-F238E27FC236}">
              <a16:creationId xmlns:a16="http://schemas.microsoft.com/office/drawing/2014/main" id="{3F0CAE90-A8C8-4C1A-8F4F-98256568345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" name="Line 47">
          <a:extLst>
            <a:ext uri="{FF2B5EF4-FFF2-40B4-BE49-F238E27FC236}">
              <a16:creationId xmlns:a16="http://schemas.microsoft.com/office/drawing/2014/main" id="{E7F6A8FF-FD5F-4A59-89D9-288B33AB2FD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" name="Line 49">
          <a:extLst>
            <a:ext uri="{FF2B5EF4-FFF2-40B4-BE49-F238E27FC236}">
              <a16:creationId xmlns:a16="http://schemas.microsoft.com/office/drawing/2014/main" id="{915A1647-A06F-4774-B6C2-AD3DC44DF79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" name="Line 51">
          <a:extLst>
            <a:ext uri="{FF2B5EF4-FFF2-40B4-BE49-F238E27FC236}">
              <a16:creationId xmlns:a16="http://schemas.microsoft.com/office/drawing/2014/main" id="{D5ED39F6-3924-4121-AF72-F945B2A0C26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7" name="Line 53">
          <a:extLst>
            <a:ext uri="{FF2B5EF4-FFF2-40B4-BE49-F238E27FC236}">
              <a16:creationId xmlns:a16="http://schemas.microsoft.com/office/drawing/2014/main" id="{76131118-A540-4E49-B085-47BA4A0F727A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8" name="Line 55">
          <a:extLst>
            <a:ext uri="{FF2B5EF4-FFF2-40B4-BE49-F238E27FC236}">
              <a16:creationId xmlns:a16="http://schemas.microsoft.com/office/drawing/2014/main" id="{810FBCF4-8F73-47EF-87CC-18EDDD26033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9" name="Line 57">
          <a:extLst>
            <a:ext uri="{FF2B5EF4-FFF2-40B4-BE49-F238E27FC236}">
              <a16:creationId xmlns:a16="http://schemas.microsoft.com/office/drawing/2014/main" id="{655CBB13-9E2E-4546-9CED-F593697A3D9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0" name="Line 59">
          <a:extLst>
            <a:ext uri="{FF2B5EF4-FFF2-40B4-BE49-F238E27FC236}">
              <a16:creationId xmlns:a16="http://schemas.microsoft.com/office/drawing/2014/main" id="{373D3E8C-8DF2-4372-A98F-35B653F7875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1" name="Line 61">
          <a:extLst>
            <a:ext uri="{FF2B5EF4-FFF2-40B4-BE49-F238E27FC236}">
              <a16:creationId xmlns:a16="http://schemas.microsoft.com/office/drawing/2014/main" id="{3FD7B29E-E62B-4C95-B8DC-5690A3E8EFE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2" name="Line 63">
          <a:extLst>
            <a:ext uri="{FF2B5EF4-FFF2-40B4-BE49-F238E27FC236}">
              <a16:creationId xmlns:a16="http://schemas.microsoft.com/office/drawing/2014/main" id="{8C1D7949-EFAF-4DB3-9AB0-32826ED9E35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3" name="Line 65">
          <a:extLst>
            <a:ext uri="{FF2B5EF4-FFF2-40B4-BE49-F238E27FC236}">
              <a16:creationId xmlns:a16="http://schemas.microsoft.com/office/drawing/2014/main" id="{7F7AC0EF-AF4C-4FFF-9B1D-92CAFB1FEC77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4" name="Line 67">
          <a:extLst>
            <a:ext uri="{FF2B5EF4-FFF2-40B4-BE49-F238E27FC236}">
              <a16:creationId xmlns:a16="http://schemas.microsoft.com/office/drawing/2014/main" id="{E9120F70-4486-4D75-928E-94BE308661A1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5" name="Line 69">
          <a:extLst>
            <a:ext uri="{FF2B5EF4-FFF2-40B4-BE49-F238E27FC236}">
              <a16:creationId xmlns:a16="http://schemas.microsoft.com/office/drawing/2014/main" id="{BA3028A1-E801-4783-BFAF-58366BB0E67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6" name="Line 71">
          <a:extLst>
            <a:ext uri="{FF2B5EF4-FFF2-40B4-BE49-F238E27FC236}">
              <a16:creationId xmlns:a16="http://schemas.microsoft.com/office/drawing/2014/main" id="{26E64124-9DCD-48ED-978C-00FA38FF419B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7" name="Line 73">
          <a:extLst>
            <a:ext uri="{FF2B5EF4-FFF2-40B4-BE49-F238E27FC236}">
              <a16:creationId xmlns:a16="http://schemas.microsoft.com/office/drawing/2014/main" id="{59107D4A-6B0F-45A5-99A3-A576870A42DB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8" name="Line 75">
          <a:extLst>
            <a:ext uri="{FF2B5EF4-FFF2-40B4-BE49-F238E27FC236}">
              <a16:creationId xmlns:a16="http://schemas.microsoft.com/office/drawing/2014/main" id="{483F1309-AE9A-4F78-B502-3BA9128EA52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19" name="Line 77">
          <a:extLst>
            <a:ext uri="{FF2B5EF4-FFF2-40B4-BE49-F238E27FC236}">
              <a16:creationId xmlns:a16="http://schemas.microsoft.com/office/drawing/2014/main" id="{AB95F023-C116-49BB-8E24-0C19859B256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0" name="Line 79">
          <a:extLst>
            <a:ext uri="{FF2B5EF4-FFF2-40B4-BE49-F238E27FC236}">
              <a16:creationId xmlns:a16="http://schemas.microsoft.com/office/drawing/2014/main" id="{19C7C2F4-22CF-4BF8-AF70-413FD49B950A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1" name="Line 81">
          <a:extLst>
            <a:ext uri="{FF2B5EF4-FFF2-40B4-BE49-F238E27FC236}">
              <a16:creationId xmlns:a16="http://schemas.microsoft.com/office/drawing/2014/main" id="{0E3074FE-2DDA-4F90-8176-2BE745AC642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2" name="Line 83">
          <a:extLst>
            <a:ext uri="{FF2B5EF4-FFF2-40B4-BE49-F238E27FC236}">
              <a16:creationId xmlns:a16="http://schemas.microsoft.com/office/drawing/2014/main" id="{7F56207B-C720-48F6-9B26-FC4A2DDE191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3" name="Line 85">
          <a:extLst>
            <a:ext uri="{FF2B5EF4-FFF2-40B4-BE49-F238E27FC236}">
              <a16:creationId xmlns:a16="http://schemas.microsoft.com/office/drawing/2014/main" id="{05EAC7DA-87DA-47D7-B6C7-AFE00E68900E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4" name="Line 87">
          <a:extLst>
            <a:ext uri="{FF2B5EF4-FFF2-40B4-BE49-F238E27FC236}">
              <a16:creationId xmlns:a16="http://schemas.microsoft.com/office/drawing/2014/main" id="{ED4515C0-E4BA-40D1-A954-0AA3574F76E7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5" name="Line 89">
          <a:extLst>
            <a:ext uri="{FF2B5EF4-FFF2-40B4-BE49-F238E27FC236}">
              <a16:creationId xmlns:a16="http://schemas.microsoft.com/office/drawing/2014/main" id="{C99FE9BF-0E3D-43BE-A6B1-85FC1FA704E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6" name="Line 745">
          <a:extLst>
            <a:ext uri="{FF2B5EF4-FFF2-40B4-BE49-F238E27FC236}">
              <a16:creationId xmlns:a16="http://schemas.microsoft.com/office/drawing/2014/main" id="{2B70144C-AB88-4B23-AE41-41B832BE1D6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7" name="Line 747">
          <a:extLst>
            <a:ext uri="{FF2B5EF4-FFF2-40B4-BE49-F238E27FC236}">
              <a16:creationId xmlns:a16="http://schemas.microsoft.com/office/drawing/2014/main" id="{5CE01F9D-FE51-4C38-8240-777CDF3F1735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8" name="Line 749">
          <a:extLst>
            <a:ext uri="{FF2B5EF4-FFF2-40B4-BE49-F238E27FC236}">
              <a16:creationId xmlns:a16="http://schemas.microsoft.com/office/drawing/2014/main" id="{0E924001-1D15-4726-848F-08A2E690451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29" name="Line 751">
          <a:extLst>
            <a:ext uri="{FF2B5EF4-FFF2-40B4-BE49-F238E27FC236}">
              <a16:creationId xmlns:a16="http://schemas.microsoft.com/office/drawing/2014/main" id="{12809CD2-7A1F-4F6B-9AE0-16EC6C4BDD4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0" name="Line 753">
          <a:extLst>
            <a:ext uri="{FF2B5EF4-FFF2-40B4-BE49-F238E27FC236}">
              <a16:creationId xmlns:a16="http://schemas.microsoft.com/office/drawing/2014/main" id="{B6BEC754-9A37-445B-8691-D6FFFD03ED2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1" name="Line 755">
          <a:extLst>
            <a:ext uri="{FF2B5EF4-FFF2-40B4-BE49-F238E27FC236}">
              <a16:creationId xmlns:a16="http://schemas.microsoft.com/office/drawing/2014/main" id="{6F5E6DE3-CCC2-47BE-AE49-F6F9DE45D7D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2" name="Line 757">
          <a:extLst>
            <a:ext uri="{FF2B5EF4-FFF2-40B4-BE49-F238E27FC236}">
              <a16:creationId xmlns:a16="http://schemas.microsoft.com/office/drawing/2014/main" id="{A65462B6-B526-4C72-BE2E-A903222AF80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3" name="Line 759">
          <a:extLst>
            <a:ext uri="{FF2B5EF4-FFF2-40B4-BE49-F238E27FC236}">
              <a16:creationId xmlns:a16="http://schemas.microsoft.com/office/drawing/2014/main" id="{7CA38A7C-EF10-4B77-995F-D42E37607F2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4" name="Line 761">
          <a:extLst>
            <a:ext uri="{FF2B5EF4-FFF2-40B4-BE49-F238E27FC236}">
              <a16:creationId xmlns:a16="http://schemas.microsoft.com/office/drawing/2014/main" id="{797771E3-05BE-44A0-8F94-B555AF5F9B0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5" name="Line 763">
          <a:extLst>
            <a:ext uri="{FF2B5EF4-FFF2-40B4-BE49-F238E27FC236}">
              <a16:creationId xmlns:a16="http://schemas.microsoft.com/office/drawing/2014/main" id="{8E7A403F-948E-47CF-8CDB-31C10B527B8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6" name="Line 765">
          <a:extLst>
            <a:ext uri="{FF2B5EF4-FFF2-40B4-BE49-F238E27FC236}">
              <a16:creationId xmlns:a16="http://schemas.microsoft.com/office/drawing/2014/main" id="{73BFE7DA-8009-4361-845F-AFC8CF0D362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7" name="Line 767">
          <a:extLst>
            <a:ext uri="{FF2B5EF4-FFF2-40B4-BE49-F238E27FC236}">
              <a16:creationId xmlns:a16="http://schemas.microsoft.com/office/drawing/2014/main" id="{D0451FD7-D9DB-4187-A1D8-9DE609CCF87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8" name="Line 769">
          <a:extLst>
            <a:ext uri="{FF2B5EF4-FFF2-40B4-BE49-F238E27FC236}">
              <a16:creationId xmlns:a16="http://schemas.microsoft.com/office/drawing/2014/main" id="{BC5FC990-328A-485F-BC66-130F08DC5B7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39" name="Line 771">
          <a:extLst>
            <a:ext uri="{FF2B5EF4-FFF2-40B4-BE49-F238E27FC236}">
              <a16:creationId xmlns:a16="http://schemas.microsoft.com/office/drawing/2014/main" id="{BE847C18-0A7C-4B65-A603-03F6E935DED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0" name="Line 773">
          <a:extLst>
            <a:ext uri="{FF2B5EF4-FFF2-40B4-BE49-F238E27FC236}">
              <a16:creationId xmlns:a16="http://schemas.microsoft.com/office/drawing/2014/main" id="{59B886AA-8434-4A73-9702-0CE0E3C270F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1" name="Line 775">
          <a:extLst>
            <a:ext uri="{FF2B5EF4-FFF2-40B4-BE49-F238E27FC236}">
              <a16:creationId xmlns:a16="http://schemas.microsoft.com/office/drawing/2014/main" id="{D1E6B92E-F11D-4F07-87F1-FB37E8ADC2F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2" name="Line 777">
          <a:extLst>
            <a:ext uri="{FF2B5EF4-FFF2-40B4-BE49-F238E27FC236}">
              <a16:creationId xmlns:a16="http://schemas.microsoft.com/office/drawing/2014/main" id="{A90F9AD0-3AC8-4128-9163-72C2A9BA08E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3" name="Line 779">
          <a:extLst>
            <a:ext uri="{FF2B5EF4-FFF2-40B4-BE49-F238E27FC236}">
              <a16:creationId xmlns:a16="http://schemas.microsoft.com/office/drawing/2014/main" id="{FDEA2888-EF66-4D6A-A178-CF1E94E9ABC1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4" name="Line 781">
          <a:extLst>
            <a:ext uri="{FF2B5EF4-FFF2-40B4-BE49-F238E27FC236}">
              <a16:creationId xmlns:a16="http://schemas.microsoft.com/office/drawing/2014/main" id="{6293D58D-235F-49AF-8586-422183BB48EC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5" name="Line 783">
          <a:extLst>
            <a:ext uri="{FF2B5EF4-FFF2-40B4-BE49-F238E27FC236}">
              <a16:creationId xmlns:a16="http://schemas.microsoft.com/office/drawing/2014/main" id="{BE8AB189-BC68-432B-8F9B-AC38E77D8DD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6" name="Line 785">
          <a:extLst>
            <a:ext uri="{FF2B5EF4-FFF2-40B4-BE49-F238E27FC236}">
              <a16:creationId xmlns:a16="http://schemas.microsoft.com/office/drawing/2014/main" id="{AF10A1EF-521A-427A-B6AA-621AF5DF6EF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7" name="Line 787">
          <a:extLst>
            <a:ext uri="{FF2B5EF4-FFF2-40B4-BE49-F238E27FC236}">
              <a16:creationId xmlns:a16="http://schemas.microsoft.com/office/drawing/2014/main" id="{8C33851E-E34A-4FFF-90AF-57444F4383B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8" name="Line 789">
          <a:extLst>
            <a:ext uri="{FF2B5EF4-FFF2-40B4-BE49-F238E27FC236}">
              <a16:creationId xmlns:a16="http://schemas.microsoft.com/office/drawing/2014/main" id="{3AF84285-0AEA-49B6-9643-348B571AB65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49" name="Line 791">
          <a:extLst>
            <a:ext uri="{FF2B5EF4-FFF2-40B4-BE49-F238E27FC236}">
              <a16:creationId xmlns:a16="http://schemas.microsoft.com/office/drawing/2014/main" id="{6AC979D4-E7BB-4AAF-B7B4-A01F2D53AD27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0" name="Line 43">
          <a:extLst>
            <a:ext uri="{FF2B5EF4-FFF2-40B4-BE49-F238E27FC236}">
              <a16:creationId xmlns:a16="http://schemas.microsoft.com/office/drawing/2014/main" id="{E29D8D8B-19F0-4148-A346-4E40A2C51CF9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1" name="Line 45">
          <a:extLst>
            <a:ext uri="{FF2B5EF4-FFF2-40B4-BE49-F238E27FC236}">
              <a16:creationId xmlns:a16="http://schemas.microsoft.com/office/drawing/2014/main" id="{AFB2C1CB-8E93-4359-9735-B752FA4BAA4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2" name="Line 47">
          <a:extLst>
            <a:ext uri="{FF2B5EF4-FFF2-40B4-BE49-F238E27FC236}">
              <a16:creationId xmlns:a16="http://schemas.microsoft.com/office/drawing/2014/main" id="{D09296DF-E3A4-449A-9925-1097070B684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3" name="Line 49">
          <a:extLst>
            <a:ext uri="{FF2B5EF4-FFF2-40B4-BE49-F238E27FC236}">
              <a16:creationId xmlns:a16="http://schemas.microsoft.com/office/drawing/2014/main" id="{31979AE8-3CA3-480E-A6BB-70B75AFB6698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4" name="Line 51">
          <a:extLst>
            <a:ext uri="{FF2B5EF4-FFF2-40B4-BE49-F238E27FC236}">
              <a16:creationId xmlns:a16="http://schemas.microsoft.com/office/drawing/2014/main" id="{0361FDE3-C1F1-4ADB-8DDF-20B159026B1A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5" name="Line 53">
          <a:extLst>
            <a:ext uri="{FF2B5EF4-FFF2-40B4-BE49-F238E27FC236}">
              <a16:creationId xmlns:a16="http://schemas.microsoft.com/office/drawing/2014/main" id="{1417E7D9-A898-446C-BAEF-A2D19CA3832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6" name="Line 55">
          <a:extLst>
            <a:ext uri="{FF2B5EF4-FFF2-40B4-BE49-F238E27FC236}">
              <a16:creationId xmlns:a16="http://schemas.microsoft.com/office/drawing/2014/main" id="{2959A2EC-C4F4-44E3-9EE7-839AFD8CA4D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7" name="Line 57">
          <a:extLst>
            <a:ext uri="{FF2B5EF4-FFF2-40B4-BE49-F238E27FC236}">
              <a16:creationId xmlns:a16="http://schemas.microsoft.com/office/drawing/2014/main" id="{CF35C54E-7BA8-4454-B7D4-51520AB041A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8" name="Line 59">
          <a:extLst>
            <a:ext uri="{FF2B5EF4-FFF2-40B4-BE49-F238E27FC236}">
              <a16:creationId xmlns:a16="http://schemas.microsoft.com/office/drawing/2014/main" id="{0AF4D152-A452-48FF-A67B-45FE6C1D933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59" name="Line 61">
          <a:extLst>
            <a:ext uri="{FF2B5EF4-FFF2-40B4-BE49-F238E27FC236}">
              <a16:creationId xmlns:a16="http://schemas.microsoft.com/office/drawing/2014/main" id="{F0DBB359-B5EA-455F-B6AD-44199592D9F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0" name="Line 63">
          <a:extLst>
            <a:ext uri="{FF2B5EF4-FFF2-40B4-BE49-F238E27FC236}">
              <a16:creationId xmlns:a16="http://schemas.microsoft.com/office/drawing/2014/main" id="{912F040D-FF96-4F80-8A5F-3471215295F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1" name="Line 65">
          <a:extLst>
            <a:ext uri="{FF2B5EF4-FFF2-40B4-BE49-F238E27FC236}">
              <a16:creationId xmlns:a16="http://schemas.microsoft.com/office/drawing/2014/main" id="{C8251131-1B3C-4E22-B8B2-CA525B4411C7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2" name="Line 67">
          <a:extLst>
            <a:ext uri="{FF2B5EF4-FFF2-40B4-BE49-F238E27FC236}">
              <a16:creationId xmlns:a16="http://schemas.microsoft.com/office/drawing/2014/main" id="{3E78F5DC-1F7B-4714-9F42-F7648FC0A98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" name="Line 69">
          <a:extLst>
            <a:ext uri="{FF2B5EF4-FFF2-40B4-BE49-F238E27FC236}">
              <a16:creationId xmlns:a16="http://schemas.microsoft.com/office/drawing/2014/main" id="{3BC11F7C-6D62-460E-B455-3322FCD726E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" name="Line 71">
          <a:extLst>
            <a:ext uri="{FF2B5EF4-FFF2-40B4-BE49-F238E27FC236}">
              <a16:creationId xmlns:a16="http://schemas.microsoft.com/office/drawing/2014/main" id="{418A6832-E7C0-43EA-BB82-5C9F961C3027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" name="Line 73">
          <a:extLst>
            <a:ext uri="{FF2B5EF4-FFF2-40B4-BE49-F238E27FC236}">
              <a16:creationId xmlns:a16="http://schemas.microsoft.com/office/drawing/2014/main" id="{344981A2-B0B5-404F-9499-5E3E9E49300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" name="Line 75">
          <a:extLst>
            <a:ext uri="{FF2B5EF4-FFF2-40B4-BE49-F238E27FC236}">
              <a16:creationId xmlns:a16="http://schemas.microsoft.com/office/drawing/2014/main" id="{90A75480-58BA-44A7-AE15-34F5333BFEF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" name="Line 77">
          <a:extLst>
            <a:ext uri="{FF2B5EF4-FFF2-40B4-BE49-F238E27FC236}">
              <a16:creationId xmlns:a16="http://schemas.microsoft.com/office/drawing/2014/main" id="{409459DF-2D3D-4F47-8F26-7D418009F5E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8" name="Line 79">
          <a:extLst>
            <a:ext uri="{FF2B5EF4-FFF2-40B4-BE49-F238E27FC236}">
              <a16:creationId xmlns:a16="http://schemas.microsoft.com/office/drawing/2014/main" id="{7F262E25-8E64-42F5-BE8E-2163099883F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9" name="Line 81">
          <a:extLst>
            <a:ext uri="{FF2B5EF4-FFF2-40B4-BE49-F238E27FC236}">
              <a16:creationId xmlns:a16="http://schemas.microsoft.com/office/drawing/2014/main" id="{2237496F-D20B-4ACD-860C-0A561E305DC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0" name="Line 83">
          <a:extLst>
            <a:ext uri="{FF2B5EF4-FFF2-40B4-BE49-F238E27FC236}">
              <a16:creationId xmlns:a16="http://schemas.microsoft.com/office/drawing/2014/main" id="{3D7F653D-E78E-43F6-ACCA-A49A6F17464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1" name="Line 85">
          <a:extLst>
            <a:ext uri="{FF2B5EF4-FFF2-40B4-BE49-F238E27FC236}">
              <a16:creationId xmlns:a16="http://schemas.microsoft.com/office/drawing/2014/main" id="{FC536202-D9CB-4652-83DD-B37A2EF126E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2" name="Line 87">
          <a:extLst>
            <a:ext uri="{FF2B5EF4-FFF2-40B4-BE49-F238E27FC236}">
              <a16:creationId xmlns:a16="http://schemas.microsoft.com/office/drawing/2014/main" id="{386C7FE1-B22B-476B-A466-79A03A9AFDED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3" name="Line 89">
          <a:extLst>
            <a:ext uri="{FF2B5EF4-FFF2-40B4-BE49-F238E27FC236}">
              <a16:creationId xmlns:a16="http://schemas.microsoft.com/office/drawing/2014/main" id="{05A1A358-FB86-408B-91EA-E6DE0BA022F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4" name="Line 745">
          <a:extLst>
            <a:ext uri="{FF2B5EF4-FFF2-40B4-BE49-F238E27FC236}">
              <a16:creationId xmlns:a16="http://schemas.microsoft.com/office/drawing/2014/main" id="{3D829FED-4DF7-4FFE-AA7A-93109C1C58A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5" name="Line 747">
          <a:extLst>
            <a:ext uri="{FF2B5EF4-FFF2-40B4-BE49-F238E27FC236}">
              <a16:creationId xmlns:a16="http://schemas.microsoft.com/office/drawing/2014/main" id="{B5AE70B7-A5A7-4E5A-A0CC-64E58F4EBCF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6" name="Line 749">
          <a:extLst>
            <a:ext uri="{FF2B5EF4-FFF2-40B4-BE49-F238E27FC236}">
              <a16:creationId xmlns:a16="http://schemas.microsoft.com/office/drawing/2014/main" id="{01853CD4-1497-436B-A796-13ADC42C61E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7" name="Line 751">
          <a:extLst>
            <a:ext uri="{FF2B5EF4-FFF2-40B4-BE49-F238E27FC236}">
              <a16:creationId xmlns:a16="http://schemas.microsoft.com/office/drawing/2014/main" id="{2C04E5CD-1F15-4D02-9DF3-26B043DD152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8" name="Line 753">
          <a:extLst>
            <a:ext uri="{FF2B5EF4-FFF2-40B4-BE49-F238E27FC236}">
              <a16:creationId xmlns:a16="http://schemas.microsoft.com/office/drawing/2014/main" id="{09BA3D81-7B65-4782-BFD1-E29D141B6D9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79" name="Line 755">
          <a:extLst>
            <a:ext uri="{FF2B5EF4-FFF2-40B4-BE49-F238E27FC236}">
              <a16:creationId xmlns:a16="http://schemas.microsoft.com/office/drawing/2014/main" id="{CFEA1A93-0E16-4D11-8387-6DDC8D31782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0" name="Line 757">
          <a:extLst>
            <a:ext uri="{FF2B5EF4-FFF2-40B4-BE49-F238E27FC236}">
              <a16:creationId xmlns:a16="http://schemas.microsoft.com/office/drawing/2014/main" id="{CDED5F28-F8BC-4ED0-90A4-E75F192BA6D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1" name="Line 759">
          <a:extLst>
            <a:ext uri="{FF2B5EF4-FFF2-40B4-BE49-F238E27FC236}">
              <a16:creationId xmlns:a16="http://schemas.microsoft.com/office/drawing/2014/main" id="{8B6B1BF7-9D80-4D13-B1D0-3E768FA61D4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2" name="Line 761">
          <a:extLst>
            <a:ext uri="{FF2B5EF4-FFF2-40B4-BE49-F238E27FC236}">
              <a16:creationId xmlns:a16="http://schemas.microsoft.com/office/drawing/2014/main" id="{4911BC2D-8FC9-4803-848F-1168A217973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3" name="Line 763">
          <a:extLst>
            <a:ext uri="{FF2B5EF4-FFF2-40B4-BE49-F238E27FC236}">
              <a16:creationId xmlns:a16="http://schemas.microsoft.com/office/drawing/2014/main" id="{DDEE1DF6-B68E-4132-A785-14B8B04BCD2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4" name="Line 765">
          <a:extLst>
            <a:ext uri="{FF2B5EF4-FFF2-40B4-BE49-F238E27FC236}">
              <a16:creationId xmlns:a16="http://schemas.microsoft.com/office/drawing/2014/main" id="{2CFE42AE-9390-4E75-8263-765F8FD4D27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5" name="Line 767">
          <a:extLst>
            <a:ext uri="{FF2B5EF4-FFF2-40B4-BE49-F238E27FC236}">
              <a16:creationId xmlns:a16="http://schemas.microsoft.com/office/drawing/2014/main" id="{A24D0242-D7A1-48E3-88E2-7E319B3F36B8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6" name="Line 769">
          <a:extLst>
            <a:ext uri="{FF2B5EF4-FFF2-40B4-BE49-F238E27FC236}">
              <a16:creationId xmlns:a16="http://schemas.microsoft.com/office/drawing/2014/main" id="{FB0D56CC-BA02-42DF-99A9-755B217C602A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7" name="Line 771">
          <a:extLst>
            <a:ext uri="{FF2B5EF4-FFF2-40B4-BE49-F238E27FC236}">
              <a16:creationId xmlns:a16="http://schemas.microsoft.com/office/drawing/2014/main" id="{6DC40CDF-F8E8-4288-B288-AF93563320D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8" name="Line 773">
          <a:extLst>
            <a:ext uri="{FF2B5EF4-FFF2-40B4-BE49-F238E27FC236}">
              <a16:creationId xmlns:a16="http://schemas.microsoft.com/office/drawing/2014/main" id="{61571431-81BE-45FE-B834-499773B824B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89" name="Line 775">
          <a:extLst>
            <a:ext uri="{FF2B5EF4-FFF2-40B4-BE49-F238E27FC236}">
              <a16:creationId xmlns:a16="http://schemas.microsoft.com/office/drawing/2014/main" id="{E94AB0D5-DDA7-42DF-A8A8-B4CB41FA022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0" name="Line 777">
          <a:extLst>
            <a:ext uri="{FF2B5EF4-FFF2-40B4-BE49-F238E27FC236}">
              <a16:creationId xmlns:a16="http://schemas.microsoft.com/office/drawing/2014/main" id="{2E68C3CE-5DA4-4EDF-A03C-53EC8E3C75F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1" name="Line 779">
          <a:extLst>
            <a:ext uri="{FF2B5EF4-FFF2-40B4-BE49-F238E27FC236}">
              <a16:creationId xmlns:a16="http://schemas.microsoft.com/office/drawing/2014/main" id="{F1B59778-D6A8-41C4-A3F7-EE15AF73391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2" name="Line 781">
          <a:extLst>
            <a:ext uri="{FF2B5EF4-FFF2-40B4-BE49-F238E27FC236}">
              <a16:creationId xmlns:a16="http://schemas.microsoft.com/office/drawing/2014/main" id="{47C58883-837B-4A2E-AE17-B5666928BA2D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3" name="Line 783">
          <a:extLst>
            <a:ext uri="{FF2B5EF4-FFF2-40B4-BE49-F238E27FC236}">
              <a16:creationId xmlns:a16="http://schemas.microsoft.com/office/drawing/2014/main" id="{7CC9DAD7-9164-49C7-AEFD-208352A80A7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4" name="Line 785">
          <a:extLst>
            <a:ext uri="{FF2B5EF4-FFF2-40B4-BE49-F238E27FC236}">
              <a16:creationId xmlns:a16="http://schemas.microsoft.com/office/drawing/2014/main" id="{FE963634-E1B0-461F-ABF2-DC36829E05A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5" name="Line 787">
          <a:extLst>
            <a:ext uri="{FF2B5EF4-FFF2-40B4-BE49-F238E27FC236}">
              <a16:creationId xmlns:a16="http://schemas.microsoft.com/office/drawing/2014/main" id="{BB19117E-D983-4A32-93A9-6B5349FD79B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6" name="Line 789">
          <a:extLst>
            <a:ext uri="{FF2B5EF4-FFF2-40B4-BE49-F238E27FC236}">
              <a16:creationId xmlns:a16="http://schemas.microsoft.com/office/drawing/2014/main" id="{9882BDD9-2784-461F-A5DC-6F59E186B49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97" name="Line 791">
          <a:extLst>
            <a:ext uri="{FF2B5EF4-FFF2-40B4-BE49-F238E27FC236}">
              <a16:creationId xmlns:a16="http://schemas.microsoft.com/office/drawing/2014/main" id="{44C13D65-7C74-4D90-8DDD-4477E37CAA69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98" name="Line 43">
          <a:extLst>
            <a:ext uri="{FF2B5EF4-FFF2-40B4-BE49-F238E27FC236}">
              <a16:creationId xmlns:a16="http://schemas.microsoft.com/office/drawing/2014/main" id="{DA55CE7A-C45B-4CE6-A93E-C22ADB7217FD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99" name="Line 45">
          <a:extLst>
            <a:ext uri="{FF2B5EF4-FFF2-40B4-BE49-F238E27FC236}">
              <a16:creationId xmlns:a16="http://schemas.microsoft.com/office/drawing/2014/main" id="{2790FDF4-F53C-41B2-B45D-1D809A4BB7D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0" name="Line 47">
          <a:extLst>
            <a:ext uri="{FF2B5EF4-FFF2-40B4-BE49-F238E27FC236}">
              <a16:creationId xmlns:a16="http://schemas.microsoft.com/office/drawing/2014/main" id="{8ED0C409-AFA8-475F-9963-14765B5AA99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1" name="Line 49">
          <a:extLst>
            <a:ext uri="{FF2B5EF4-FFF2-40B4-BE49-F238E27FC236}">
              <a16:creationId xmlns:a16="http://schemas.microsoft.com/office/drawing/2014/main" id="{18F73A75-E1F3-4F41-B16D-0B9F68ED3DBC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2" name="Line 51">
          <a:extLst>
            <a:ext uri="{FF2B5EF4-FFF2-40B4-BE49-F238E27FC236}">
              <a16:creationId xmlns:a16="http://schemas.microsoft.com/office/drawing/2014/main" id="{CB47EE9E-A9F8-492D-97FC-C972FD11F13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3" name="Line 53">
          <a:extLst>
            <a:ext uri="{FF2B5EF4-FFF2-40B4-BE49-F238E27FC236}">
              <a16:creationId xmlns:a16="http://schemas.microsoft.com/office/drawing/2014/main" id="{F39EFFE8-F74F-4C75-9E0C-E0FF57C9C2A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4" name="Line 55">
          <a:extLst>
            <a:ext uri="{FF2B5EF4-FFF2-40B4-BE49-F238E27FC236}">
              <a16:creationId xmlns:a16="http://schemas.microsoft.com/office/drawing/2014/main" id="{F7052FCA-D631-40DA-85AE-05224C2FE41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5" name="Line 57">
          <a:extLst>
            <a:ext uri="{FF2B5EF4-FFF2-40B4-BE49-F238E27FC236}">
              <a16:creationId xmlns:a16="http://schemas.microsoft.com/office/drawing/2014/main" id="{24591092-792A-4CCA-908B-F1CBA81444A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6" name="Line 59">
          <a:extLst>
            <a:ext uri="{FF2B5EF4-FFF2-40B4-BE49-F238E27FC236}">
              <a16:creationId xmlns:a16="http://schemas.microsoft.com/office/drawing/2014/main" id="{FE85C0CA-9D16-4D68-A283-1A3A72E19675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7" name="Line 61">
          <a:extLst>
            <a:ext uri="{FF2B5EF4-FFF2-40B4-BE49-F238E27FC236}">
              <a16:creationId xmlns:a16="http://schemas.microsoft.com/office/drawing/2014/main" id="{68D9F1BC-4002-4CE1-84F2-8C75D70B6E80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8" name="Line 63">
          <a:extLst>
            <a:ext uri="{FF2B5EF4-FFF2-40B4-BE49-F238E27FC236}">
              <a16:creationId xmlns:a16="http://schemas.microsoft.com/office/drawing/2014/main" id="{37DEA86A-F809-49C9-84C3-60D9961E7AA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09" name="Line 65">
          <a:extLst>
            <a:ext uri="{FF2B5EF4-FFF2-40B4-BE49-F238E27FC236}">
              <a16:creationId xmlns:a16="http://schemas.microsoft.com/office/drawing/2014/main" id="{D6728A8D-07FD-45F6-8CB0-339732C9305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0" name="Line 67">
          <a:extLst>
            <a:ext uri="{FF2B5EF4-FFF2-40B4-BE49-F238E27FC236}">
              <a16:creationId xmlns:a16="http://schemas.microsoft.com/office/drawing/2014/main" id="{701C4197-EFA6-4A28-A97A-644C0FDAC46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1" name="Line 69">
          <a:extLst>
            <a:ext uri="{FF2B5EF4-FFF2-40B4-BE49-F238E27FC236}">
              <a16:creationId xmlns:a16="http://schemas.microsoft.com/office/drawing/2014/main" id="{B1A1A6EF-05CF-4FB0-9AC3-36CCE3FDB90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2" name="Line 71">
          <a:extLst>
            <a:ext uri="{FF2B5EF4-FFF2-40B4-BE49-F238E27FC236}">
              <a16:creationId xmlns:a16="http://schemas.microsoft.com/office/drawing/2014/main" id="{E127E016-40A6-4F6F-9C70-E630B5C0C9F0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3" name="Line 73">
          <a:extLst>
            <a:ext uri="{FF2B5EF4-FFF2-40B4-BE49-F238E27FC236}">
              <a16:creationId xmlns:a16="http://schemas.microsoft.com/office/drawing/2014/main" id="{5F1F97FC-DAA0-4EF7-A2CF-F0984A4E1224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4" name="Line 75">
          <a:extLst>
            <a:ext uri="{FF2B5EF4-FFF2-40B4-BE49-F238E27FC236}">
              <a16:creationId xmlns:a16="http://schemas.microsoft.com/office/drawing/2014/main" id="{A89FC66C-5BBC-4FF2-A067-65C52E0B8EC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5" name="Line 77">
          <a:extLst>
            <a:ext uri="{FF2B5EF4-FFF2-40B4-BE49-F238E27FC236}">
              <a16:creationId xmlns:a16="http://schemas.microsoft.com/office/drawing/2014/main" id="{C10634A1-36A0-4D65-82F8-A1011F3BA87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6" name="Line 79">
          <a:extLst>
            <a:ext uri="{FF2B5EF4-FFF2-40B4-BE49-F238E27FC236}">
              <a16:creationId xmlns:a16="http://schemas.microsoft.com/office/drawing/2014/main" id="{51045CB1-E5E3-4183-9303-0D71A00D97F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7" name="Line 81">
          <a:extLst>
            <a:ext uri="{FF2B5EF4-FFF2-40B4-BE49-F238E27FC236}">
              <a16:creationId xmlns:a16="http://schemas.microsoft.com/office/drawing/2014/main" id="{64710968-5FE4-4F16-B57C-39000B063E9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8" name="Line 83">
          <a:extLst>
            <a:ext uri="{FF2B5EF4-FFF2-40B4-BE49-F238E27FC236}">
              <a16:creationId xmlns:a16="http://schemas.microsoft.com/office/drawing/2014/main" id="{584F57B7-5527-4BD8-A751-CAA450CA753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19" name="Line 85">
          <a:extLst>
            <a:ext uri="{FF2B5EF4-FFF2-40B4-BE49-F238E27FC236}">
              <a16:creationId xmlns:a16="http://schemas.microsoft.com/office/drawing/2014/main" id="{9D17DB1A-3D20-411D-B4A3-C376750AAE6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0" name="Line 87">
          <a:extLst>
            <a:ext uri="{FF2B5EF4-FFF2-40B4-BE49-F238E27FC236}">
              <a16:creationId xmlns:a16="http://schemas.microsoft.com/office/drawing/2014/main" id="{1547CB99-54F5-4550-925A-669313E13C50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1" name="Line 89">
          <a:extLst>
            <a:ext uri="{FF2B5EF4-FFF2-40B4-BE49-F238E27FC236}">
              <a16:creationId xmlns:a16="http://schemas.microsoft.com/office/drawing/2014/main" id="{F4A64C6E-22D0-4BC8-A2EB-0BFA3DFABF05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2" name="Line 745">
          <a:extLst>
            <a:ext uri="{FF2B5EF4-FFF2-40B4-BE49-F238E27FC236}">
              <a16:creationId xmlns:a16="http://schemas.microsoft.com/office/drawing/2014/main" id="{E28A66CF-BFD3-4035-A6F1-DADA56FD650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3" name="Line 747">
          <a:extLst>
            <a:ext uri="{FF2B5EF4-FFF2-40B4-BE49-F238E27FC236}">
              <a16:creationId xmlns:a16="http://schemas.microsoft.com/office/drawing/2014/main" id="{2DF0AC91-C8F5-4DFB-ADDB-B45E650AFC9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4" name="Line 749">
          <a:extLst>
            <a:ext uri="{FF2B5EF4-FFF2-40B4-BE49-F238E27FC236}">
              <a16:creationId xmlns:a16="http://schemas.microsoft.com/office/drawing/2014/main" id="{E76E1334-A92B-4AAB-94CA-496566EF588C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5" name="Line 751">
          <a:extLst>
            <a:ext uri="{FF2B5EF4-FFF2-40B4-BE49-F238E27FC236}">
              <a16:creationId xmlns:a16="http://schemas.microsoft.com/office/drawing/2014/main" id="{E4C47393-979B-4B47-8FC0-EF56979FD25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6" name="Line 753">
          <a:extLst>
            <a:ext uri="{FF2B5EF4-FFF2-40B4-BE49-F238E27FC236}">
              <a16:creationId xmlns:a16="http://schemas.microsoft.com/office/drawing/2014/main" id="{FB99441A-9C02-4E04-A006-FD6E1D0DF1C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7" name="Line 755">
          <a:extLst>
            <a:ext uri="{FF2B5EF4-FFF2-40B4-BE49-F238E27FC236}">
              <a16:creationId xmlns:a16="http://schemas.microsoft.com/office/drawing/2014/main" id="{A70C5213-F751-4459-956A-12F56CA8387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8" name="Line 757">
          <a:extLst>
            <a:ext uri="{FF2B5EF4-FFF2-40B4-BE49-F238E27FC236}">
              <a16:creationId xmlns:a16="http://schemas.microsoft.com/office/drawing/2014/main" id="{415A77F2-0D2A-4713-865C-324BC7A6F3A4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29" name="Line 759">
          <a:extLst>
            <a:ext uri="{FF2B5EF4-FFF2-40B4-BE49-F238E27FC236}">
              <a16:creationId xmlns:a16="http://schemas.microsoft.com/office/drawing/2014/main" id="{E552603F-CF9A-41B1-AFB1-685864610A4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0" name="Line 761">
          <a:extLst>
            <a:ext uri="{FF2B5EF4-FFF2-40B4-BE49-F238E27FC236}">
              <a16:creationId xmlns:a16="http://schemas.microsoft.com/office/drawing/2014/main" id="{B2B2BA51-D0DB-4C5D-8BC8-0B14ACEAC0B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1" name="Line 763">
          <a:extLst>
            <a:ext uri="{FF2B5EF4-FFF2-40B4-BE49-F238E27FC236}">
              <a16:creationId xmlns:a16="http://schemas.microsoft.com/office/drawing/2014/main" id="{336F05D0-C465-4292-AFB7-9A73BCA1BD5C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2" name="Line 765">
          <a:extLst>
            <a:ext uri="{FF2B5EF4-FFF2-40B4-BE49-F238E27FC236}">
              <a16:creationId xmlns:a16="http://schemas.microsoft.com/office/drawing/2014/main" id="{51466B5A-0689-4D09-9B12-7C75EAF37FF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3" name="Line 767">
          <a:extLst>
            <a:ext uri="{FF2B5EF4-FFF2-40B4-BE49-F238E27FC236}">
              <a16:creationId xmlns:a16="http://schemas.microsoft.com/office/drawing/2014/main" id="{9605B0AA-0664-46A4-9DD5-078080F0885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4" name="Line 769">
          <a:extLst>
            <a:ext uri="{FF2B5EF4-FFF2-40B4-BE49-F238E27FC236}">
              <a16:creationId xmlns:a16="http://schemas.microsoft.com/office/drawing/2014/main" id="{E8DA5961-15F4-42E5-8A36-F726E9B7502C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5" name="Line 771">
          <a:extLst>
            <a:ext uri="{FF2B5EF4-FFF2-40B4-BE49-F238E27FC236}">
              <a16:creationId xmlns:a16="http://schemas.microsoft.com/office/drawing/2014/main" id="{C0FC5083-673D-4867-9240-AB52FD6351A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6" name="Line 773">
          <a:extLst>
            <a:ext uri="{FF2B5EF4-FFF2-40B4-BE49-F238E27FC236}">
              <a16:creationId xmlns:a16="http://schemas.microsoft.com/office/drawing/2014/main" id="{B1706251-40A2-401D-A02F-F144CCC4B69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7" name="Line 775">
          <a:extLst>
            <a:ext uri="{FF2B5EF4-FFF2-40B4-BE49-F238E27FC236}">
              <a16:creationId xmlns:a16="http://schemas.microsoft.com/office/drawing/2014/main" id="{ADA1AF88-B13A-4655-9674-B6415BDB39A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8" name="Line 777">
          <a:extLst>
            <a:ext uri="{FF2B5EF4-FFF2-40B4-BE49-F238E27FC236}">
              <a16:creationId xmlns:a16="http://schemas.microsoft.com/office/drawing/2014/main" id="{8BC6AC69-8EED-4FE5-BC69-02B23A561F5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39" name="Line 779">
          <a:extLst>
            <a:ext uri="{FF2B5EF4-FFF2-40B4-BE49-F238E27FC236}">
              <a16:creationId xmlns:a16="http://schemas.microsoft.com/office/drawing/2014/main" id="{3E743385-E9C8-4410-9A44-E6AE19C0295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0" name="Line 781">
          <a:extLst>
            <a:ext uri="{FF2B5EF4-FFF2-40B4-BE49-F238E27FC236}">
              <a16:creationId xmlns:a16="http://schemas.microsoft.com/office/drawing/2014/main" id="{9B9A2A54-ECAC-46F1-A0BE-36742E73CDA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1" name="Line 783">
          <a:extLst>
            <a:ext uri="{FF2B5EF4-FFF2-40B4-BE49-F238E27FC236}">
              <a16:creationId xmlns:a16="http://schemas.microsoft.com/office/drawing/2014/main" id="{88A1256F-C92E-4C30-B8C7-AB7E9EA42418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2" name="Line 785">
          <a:extLst>
            <a:ext uri="{FF2B5EF4-FFF2-40B4-BE49-F238E27FC236}">
              <a16:creationId xmlns:a16="http://schemas.microsoft.com/office/drawing/2014/main" id="{ADE24B6B-F6CC-4D38-B3E8-8A615586CC5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3" name="Line 787">
          <a:extLst>
            <a:ext uri="{FF2B5EF4-FFF2-40B4-BE49-F238E27FC236}">
              <a16:creationId xmlns:a16="http://schemas.microsoft.com/office/drawing/2014/main" id="{6AE5A11C-509E-4DE5-89FC-E3D35E305D9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4" name="Line 789">
          <a:extLst>
            <a:ext uri="{FF2B5EF4-FFF2-40B4-BE49-F238E27FC236}">
              <a16:creationId xmlns:a16="http://schemas.microsoft.com/office/drawing/2014/main" id="{EFCDB570-0F46-4F30-967F-E8CF11C87E68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145" name="Line 791">
          <a:extLst>
            <a:ext uri="{FF2B5EF4-FFF2-40B4-BE49-F238E27FC236}">
              <a16:creationId xmlns:a16="http://schemas.microsoft.com/office/drawing/2014/main" id="{D9B48950-3461-4360-A0C9-F215F9DAB98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46" name="Line 43">
          <a:extLst>
            <a:ext uri="{FF2B5EF4-FFF2-40B4-BE49-F238E27FC236}">
              <a16:creationId xmlns:a16="http://schemas.microsoft.com/office/drawing/2014/main" id="{D003574B-C074-45AF-9060-845C1168F49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47" name="Line 45">
          <a:extLst>
            <a:ext uri="{FF2B5EF4-FFF2-40B4-BE49-F238E27FC236}">
              <a16:creationId xmlns:a16="http://schemas.microsoft.com/office/drawing/2014/main" id="{0E036159-BBF0-4A2F-98A3-0EFD8D4C7125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48" name="Line 47">
          <a:extLst>
            <a:ext uri="{FF2B5EF4-FFF2-40B4-BE49-F238E27FC236}">
              <a16:creationId xmlns:a16="http://schemas.microsoft.com/office/drawing/2014/main" id="{871E82C5-7B74-48C6-AAAB-69750098BEE4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49" name="Line 49">
          <a:extLst>
            <a:ext uri="{FF2B5EF4-FFF2-40B4-BE49-F238E27FC236}">
              <a16:creationId xmlns:a16="http://schemas.microsoft.com/office/drawing/2014/main" id="{61BEBC96-FA0F-41A6-BFE7-9E1A1C4E92D9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0" name="Line 51">
          <a:extLst>
            <a:ext uri="{FF2B5EF4-FFF2-40B4-BE49-F238E27FC236}">
              <a16:creationId xmlns:a16="http://schemas.microsoft.com/office/drawing/2014/main" id="{371C337F-A66C-4189-A11B-9F82D0C041F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1" name="Line 53">
          <a:extLst>
            <a:ext uri="{FF2B5EF4-FFF2-40B4-BE49-F238E27FC236}">
              <a16:creationId xmlns:a16="http://schemas.microsoft.com/office/drawing/2014/main" id="{F97E33C9-C132-4613-9794-64D73613591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2" name="Line 55">
          <a:extLst>
            <a:ext uri="{FF2B5EF4-FFF2-40B4-BE49-F238E27FC236}">
              <a16:creationId xmlns:a16="http://schemas.microsoft.com/office/drawing/2014/main" id="{B12F2E8B-C87C-4E02-8EC8-AD8B41D15F4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3" name="Line 57">
          <a:extLst>
            <a:ext uri="{FF2B5EF4-FFF2-40B4-BE49-F238E27FC236}">
              <a16:creationId xmlns:a16="http://schemas.microsoft.com/office/drawing/2014/main" id="{DACCED0F-5883-4410-9623-B38DFD4EB43F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4" name="Line 59">
          <a:extLst>
            <a:ext uri="{FF2B5EF4-FFF2-40B4-BE49-F238E27FC236}">
              <a16:creationId xmlns:a16="http://schemas.microsoft.com/office/drawing/2014/main" id="{0408D5A7-38F6-4712-80FD-C2E748BF684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5" name="Line 61">
          <a:extLst>
            <a:ext uri="{FF2B5EF4-FFF2-40B4-BE49-F238E27FC236}">
              <a16:creationId xmlns:a16="http://schemas.microsoft.com/office/drawing/2014/main" id="{BE16D155-BD0A-4C8D-A95A-E9CC70F860E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6" name="Line 63">
          <a:extLst>
            <a:ext uri="{FF2B5EF4-FFF2-40B4-BE49-F238E27FC236}">
              <a16:creationId xmlns:a16="http://schemas.microsoft.com/office/drawing/2014/main" id="{3A814BAA-356A-481C-96A2-92EAF7475B2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7" name="Line 65">
          <a:extLst>
            <a:ext uri="{FF2B5EF4-FFF2-40B4-BE49-F238E27FC236}">
              <a16:creationId xmlns:a16="http://schemas.microsoft.com/office/drawing/2014/main" id="{4C56AA79-BC9F-40AD-B7BD-923FD15F6E3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8" name="Line 67">
          <a:extLst>
            <a:ext uri="{FF2B5EF4-FFF2-40B4-BE49-F238E27FC236}">
              <a16:creationId xmlns:a16="http://schemas.microsoft.com/office/drawing/2014/main" id="{2C6BBA38-281F-4633-B675-7DE6C36E6CC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59" name="Line 69">
          <a:extLst>
            <a:ext uri="{FF2B5EF4-FFF2-40B4-BE49-F238E27FC236}">
              <a16:creationId xmlns:a16="http://schemas.microsoft.com/office/drawing/2014/main" id="{6121082E-0546-4A27-8BEF-29EFFF2D343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0" name="Line 71">
          <a:extLst>
            <a:ext uri="{FF2B5EF4-FFF2-40B4-BE49-F238E27FC236}">
              <a16:creationId xmlns:a16="http://schemas.microsoft.com/office/drawing/2014/main" id="{32D32DFE-66A6-4D30-B896-5911CCBACE34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1" name="Line 73">
          <a:extLst>
            <a:ext uri="{FF2B5EF4-FFF2-40B4-BE49-F238E27FC236}">
              <a16:creationId xmlns:a16="http://schemas.microsoft.com/office/drawing/2014/main" id="{24DDDC28-28B1-499B-A34D-B644E7A4A6C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2" name="Line 75">
          <a:extLst>
            <a:ext uri="{FF2B5EF4-FFF2-40B4-BE49-F238E27FC236}">
              <a16:creationId xmlns:a16="http://schemas.microsoft.com/office/drawing/2014/main" id="{0AB3DC57-CB4B-4B50-924C-9DAF117024E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3" name="Line 77">
          <a:extLst>
            <a:ext uri="{FF2B5EF4-FFF2-40B4-BE49-F238E27FC236}">
              <a16:creationId xmlns:a16="http://schemas.microsoft.com/office/drawing/2014/main" id="{A417EF87-FBC8-467B-A983-E8ADC440A11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4" name="Line 79">
          <a:extLst>
            <a:ext uri="{FF2B5EF4-FFF2-40B4-BE49-F238E27FC236}">
              <a16:creationId xmlns:a16="http://schemas.microsoft.com/office/drawing/2014/main" id="{D537D1F3-855D-4CF4-8A9E-5D89042F673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5" name="Line 81">
          <a:extLst>
            <a:ext uri="{FF2B5EF4-FFF2-40B4-BE49-F238E27FC236}">
              <a16:creationId xmlns:a16="http://schemas.microsoft.com/office/drawing/2014/main" id="{246D3D8B-62CA-4CC8-B537-BEDF28E457F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6" name="Line 83">
          <a:extLst>
            <a:ext uri="{FF2B5EF4-FFF2-40B4-BE49-F238E27FC236}">
              <a16:creationId xmlns:a16="http://schemas.microsoft.com/office/drawing/2014/main" id="{6A63C494-585E-4CDF-A9BA-61DCD9F4485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7" name="Line 85">
          <a:extLst>
            <a:ext uri="{FF2B5EF4-FFF2-40B4-BE49-F238E27FC236}">
              <a16:creationId xmlns:a16="http://schemas.microsoft.com/office/drawing/2014/main" id="{C8714023-73F7-4620-8634-B8C8957FF6A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8" name="Line 87">
          <a:extLst>
            <a:ext uri="{FF2B5EF4-FFF2-40B4-BE49-F238E27FC236}">
              <a16:creationId xmlns:a16="http://schemas.microsoft.com/office/drawing/2014/main" id="{3A47A980-BE81-4602-9FE9-0FE91624FE52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69" name="Line 89">
          <a:extLst>
            <a:ext uri="{FF2B5EF4-FFF2-40B4-BE49-F238E27FC236}">
              <a16:creationId xmlns:a16="http://schemas.microsoft.com/office/drawing/2014/main" id="{C9F5BAD1-31CF-4FB4-953E-248D18F9D948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0" name="Line 745">
          <a:extLst>
            <a:ext uri="{FF2B5EF4-FFF2-40B4-BE49-F238E27FC236}">
              <a16:creationId xmlns:a16="http://schemas.microsoft.com/office/drawing/2014/main" id="{49392796-27C4-4358-AEBE-6DD2AD0F47E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1" name="Line 747">
          <a:extLst>
            <a:ext uri="{FF2B5EF4-FFF2-40B4-BE49-F238E27FC236}">
              <a16:creationId xmlns:a16="http://schemas.microsoft.com/office/drawing/2014/main" id="{725A0F5B-506E-44B5-AF3F-A2C60B52A87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2" name="Line 749">
          <a:extLst>
            <a:ext uri="{FF2B5EF4-FFF2-40B4-BE49-F238E27FC236}">
              <a16:creationId xmlns:a16="http://schemas.microsoft.com/office/drawing/2014/main" id="{E73D282A-06D4-4205-AEF3-F47A1E92A03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3" name="Line 751">
          <a:extLst>
            <a:ext uri="{FF2B5EF4-FFF2-40B4-BE49-F238E27FC236}">
              <a16:creationId xmlns:a16="http://schemas.microsoft.com/office/drawing/2014/main" id="{E78149B1-868D-4945-990A-86FDC57F3923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4" name="Line 753">
          <a:extLst>
            <a:ext uri="{FF2B5EF4-FFF2-40B4-BE49-F238E27FC236}">
              <a16:creationId xmlns:a16="http://schemas.microsoft.com/office/drawing/2014/main" id="{6C47171A-4609-4592-B167-19E25ED4D595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5" name="Line 755">
          <a:extLst>
            <a:ext uri="{FF2B5EF4-FFF2-40B4-BE49-F238E27FC236}">
              <a16:creationId xmlns:a16="http://schemas.microsoft.com/office/drawing/2014/main" id="{53691DB3-9F6C-4F56-82BF-FE255DC043B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6" name="Line 757">
          <a:extLst>
            <a:ext uri="{FF2B5EF4-FFF2-40B4-BE49-F238E27FC236}">
              <a16:creationId xmlns:a16="http://schemas.microsoft.com/office/drawing/2014/main" id="{0342ACE9-7554-416C-9AF6-E8AEBF1EEED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7" name="Line 759">
          <a:extLst>
            <a:ext uri="{FF2B5EF4-FFF2-40B4-BE49-F238E27FC236}">
              <a16:creationId xmlns:a16="http://schemas.microsoft.com/office/drawing/2014/main" id="{897397F7-7E64-443F-A4A9-3967A43B1A9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8" name="Line 761">
          <a:extLst>
            <a:ext uri="{FF2B5EF4-FFF2-40B4-BE49-F238E27FC236}">
              <a16:creationId xmlns:a16="http://schemas.microsoft.com/office/drawing/2014/main" id="{0338363A-F320-40F1-A40F-01B4AF4B594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79" name="Line 763">
          <a:extLst>
            <a:ext uri="{FF2B5EF4-FFF2-40B4-BE49-F238E27FC236}">
              <a16:creationId xmlns:a16="http://schemas.microsoft.com/office/drawing/2014/main" id="{A0FE1A9A-C44A-4FB7-84B1-D32AE25DCE3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0" name="Line 765">
          <a:extLst>
            <a:ext uri="{FF2B5EF4-FFF2-40B4-BE49-F238E27FC236}">
              <a16:creationId xmlns:a16="http://schemas.microsoft.com/office/drawing/2014/main" id="{1AC0CA26-D172-4A96-B0A8-0F48588BCC82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1" name="Line 767">
          <a:extLst>
            <a:ext uri="{FF2B5EF4-FFF2-40B4-BE49-F238E27FC236}">
              <a16:creationId xmlns:a16="http://schemas.microsoft.com/office/drawing/2014/main" id="{54BB8C0E-C699-4338-8E94-B12F8B8AADD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2" name="Line 769">
          <a:extLst>
            <a:ext uri="{FF2B5EF4-FFF2-40B4-BE49-F238E27FC236}">
              <a16:creationId xmlns:a16="http://schemas.microsoft.com/office/drawing/2014/main" id="{29147702-43E3-4F04-82F0-11E3A9530B42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3" name="Line 771">
          <a:extLst>
            <a:ext uri="{FF2B5EF4-FFF2-40B4-BE49-F238E27FC236}">
              <a16:creationId xmlns:a16="http://schemas.microsoft.com/office/drawing/2014/main" id="{9890E82B-474E-4E36-ABE4-6CF25ABA513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4" name="Line 773">
          <a:extLst>
            <a:ext uri="{FF2B5EF4-FFF2-40B4-BE49-F238E27FC236}">
              <a16:creationId xmlns:a16="http://schemas.microsoft.com/office/drawing/2014/main" id="{E0F024F8-05CB-4582-BC01-DB269E552D9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5" name="Line 775">
          <a:extLst>
            <a:ext uri="{FF2B5EF4-FFF2-40B4-BE49-F238E27FC236}">
              <a16:creationId xmlns:a16="http://schemas.microsoft.com/office/drawing/2014/main" id="{172A9BC1-734B-4647-91C2-F5D0F81E0E2F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6" name="Line 777">
          <a:extLst>
            <a:ext uri="{FF2B5EF4-FFF2-40B4-BE49-F238E27FC236}">
              <a16:creationId xmlns:a16="http://schemas.microsoft.com/office/drawing/2014/main" id="{E55E37A6-CB3A-4C24-8FB8-DDFC309A3C1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7" name="Line 779">
          <a:extLst>
            <a:ext uri="{FF2B5EF4-FFF2-40B4-BE49-F238E27FC236}">
              <a16:creationId xmlns:a16="http://schemas.microsoft.com/office/drawing/2014/main" id="{85DCE314-0159-43AD-91A9-A2D61454670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8" name="Line 781">
          <a:extLst>
            <a:ext uri="{FF2B5EF4-FFF2-40B4-BE49-F238E27FC236}">
              <a16:creationId xmlns:a16="http://schemas.microsoft.com/office/drawing/2014/main" id="{EDADD6B3-58F8-44D1-BC7C-942EDD2B748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89" name="Line 783">
          <a:extLst>
            <a:ext uri="{FF2B5EF4-FFF2-40B4-BE49-F238E27FC236}">
              <a16:creationId xmlns:a16="http://schemas.microsoft.com/office/drawing/2014/main" id="{0FBC7B4C-2180-420F-A7C7-8CF730A790C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90" name="Line 785">
          <a:extLst>
            <a:ext uri="{FF2B5EF4-FFF2-40B4-BE49-F238E27FC236}">
              <a16:creationId xmlns:a16="http://schemas.microsoft.com/office/drawing/2014/main" id="{A736BBBB-5A78-46F6-BD3D-E3B04716F99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91" name="Line 787">
          <a:extLst>
            <a:ext uri="{FF2B5EF4-FFF2-40B4-BE49-F238E27FC236}">
              <a16:creationId xmlns:a16="http://schemas.microsoft.com/office/drawing/2014/main" id="{8C412FDD-8AD5-4FD3-9C0D-4C7A119B0C3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92" name="Line 789">
          <a:extLst>
            <a:ext uri="{FF2B5EF4-FFF2-40B4-BE49-F238E27FC236}">
              <a16:creationId xmlns:a16="http://schemas.microsoft.com/office/drawing/2014/main" id="{F832DBC5-C94A-4F3A-BE59-FA55FECA0C23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193" name="Line 791">
          <a:extLst>
            <a:ext uri="{FF2B5EF4-FFF2-40B4-BE49-F238E27FC236}">
              <a16:creationId xmlns:a16="http://schemas.microsoft.com/office/drawing/2014/main" id="{09D4A95C-7AF6-4BB6-941D-EB3410424FF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4" name="Line 43">
          <a:extLst>
            <a:ext uri="{FF2B5EF4-FFF2-40B4-BE49-F238E27FC236}">
              <a16:creationId xmlns:a16="http://schemas.microsoft.com/office/drawing/2014/main" id="{C995CF28-6064-43B3-9F2B-32E0981C326C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5" name="Line 45">
          <a:extLst>
            <a:ext uri="{FF2B5EF4-FFF2-40B4-BE49-F238E27FC236}">
              <a16:creationId xmlns:a16="http://schemas.microsoft.com/office/drawing/2014/main" id="{957D55EE-586C-46CD-B736-E731232BC105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6" name="Line 47">
          <a:extLst>
            <a:ext uri="{FF2B5EF4-FFF2-40B4-BE49-F238E27FC236}">
              <a16:creationId xmlns:a16="http://schemas.microsoft.com/office/drawing/2014/main" id="{23ED84CB-A299-4913-8C6D-38126598EE0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7" name="Line 49">
          <a:extLst>
            <a:ext uri="{FF2B5EF4-FFF2-40B4-BE49-F238E27FC236}">
              <a16:creationId xmlns:a16="http://schemas.microsoft.com/office/drawing/2014/main" id="{2F516D50-9060-4F0C-9007-C280C9F0F16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8" name="Line 51">
          <a:extLst>
            <a:ext uri="{FF2B5EF4-FFF2-40B4-BE49-F238E27FC236}">
              <a16:creationId xmlns:a16="http://schemas.microsoft.com/office/drawing/2014/main" id="{230123A8-74C2-458F-9DBD-CF916E2B7FC0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199" name="Line 53">
          <a:extLst>
            <a:ext uri="{FF2B5EF4-FFF2-40B4-BE49-F238E27FC236}">
              <a16:creationId xmlns:a16="http://schemas.microsoft.com/office/drawing/2014/main" id="{FA407B83-61C7-453F-B908-407339F0AD20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0" name="Line 55">
          <a:extLst>
            <a:ext uri="{FF2B5EF4-FFF2-40B4-BE49-F238E27FC236}">
              <a16:creationId xmlns:a16="http://schemas.microsoft.com/office/drawing/2014/main" id="{4F3BD3CC-DB27-4748-B5B1-1554BC18CDCF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1" name="Line 57">
          <a:extLst>
            <a:ext uri="{FF2B5EF4-FFF2-40B4-BE49-F238E27FC236}">
              <a16:creationId xmlns:a16="http://schemas.microsoft.com/office/drawing/2014/main" id="{0AA4214F-933E-425F-8858-74D3B77879E5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2" name="Line 59">
          <a:extLst>
            <a:ext uri="{FF2B5EF4-FFF2-40B4-BE49-F238E27FC236}">
              <a16:creationId xmlns:a16="http://schemas.microsoft.com/office/drawing/2014/main" id="{31759097-129D-45AD-8A6A-AAA008139F10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3" name="Line 61">
          <a:extLst>
            <a:ext uri="{FF2B5EF4-FFF2-40B4-BE49-F238E27FC236}">
              <a16:creationId xmlns:a16="http://schemas.microsoft.com/office/drawing/2014/main" id="{DF72CD10-5BAD-46ED-A128-3B87CF7C9BF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4" name="Line 63">
          <a:extLst>
            <a:ext uri="{FF2B5EF4-FFF2-40B4-BE49-F238E27FC236}">
              <a16:creationId xmlns:a16="http://schemas.microsoft.com/office/drawing/2014/main" id="{E4F3058C-83F5-483B-B4C2-76A2106656C2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5" name="Line 65">
          <a:extLst>
            <a:ext uri="{FF2B5EF4-FFF2-40B4-BE49-F238E27FC236}">
              <a16:creationId xmlns:a16="http://schemas.microsoft.com/office/drawing/2014/main" id="{7AA4AEE2-ECE6-4660-926F-50DDA2769B1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6" name="Line 67">
          <a:extLst>
            <a:ext uri="{FF2B5EF4-FFF2-40B4-BE49-F238E27FC236}">
              <a16:creationId xmlns:a16="http://schemas.microsoft.com/office/drawing/2014/main" id="{B0209DEF-0357-4171-B6E9-1C55F1DB7F8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7" name="Line 69">
          <a:extLst>
            <a:ext uri="{FF2B5EF4-FFF2-40B4-BE49-F238E27FC236}">
              <a16:creationId xmlns:a16="http://schemas.microsoft.com/office/drawing/2014/main" id="{9369A971-9054-4AE7-96BE-0A36FA2557B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8" name="Line 71">
          <a:extLst>
            <a:ext uri="{FF2B5EF4-FFF2-40B4-BE49-F238E27FC236}">
              <a16:creationId xmlns:a16="http://schemas.microsoft.com/office/drawing/2014/main" id="{00E998B4-3054-46EB-8DEE-36615C15931A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09" name="Line 73">
          <a:extLst>
            <a:ext uri="{FF2B5EF4-FFF2-40B4-BE49-F238E27FC236}">
              <a16:creationId xmlns:a16="http://schemas.microsoft.com/office/drawing/2014/main" id="{8E716DED-8F4C-46E9-B889-56722B726431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0" name="Line 75">
          <a:extLst>
            <a:ext uri="{FF2B5EF4-FFF2-40B4-BE49-F238E27FC236}">
              <a16:creationId xmlns:a16="http://schemas.microsoft.com/office/drawing/2014/main" id="{6F625881-7915-4BE0-ACCD-6C3C2753FF1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1" name="Line 77">
          <a:extLst>
            <a:ext uri="{FF2B5EF4-FFF2-40B4-BE49-F238E27FC236}">
              <a16:creationId xmlns:a16="http://schemas.microsoft.com/office/drawing/2014/main" id="{EAE4C85C-82D7-4119-B46A-5B2A16D04FB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2" name="Line 79">
          <a:extLst>
            <a:ext uri="{FF2B5EF4-FFF2-40B4-BE49-F238E27FC236}">
              <a16:creationId xmlns:a16="http://schemas.microsoft.com/office/drawing/2014/main" id="{4E58A603-56E4-4AA6-B9A0-AA86A455993A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3" name="Line 81">
          <a:extLst>
            <a:ext uri="{FF2B5EF4-FFF2-40B4-BE49-F238E27FC236}">
              <a16:creationId xmlns:a16="http://schemas.microsoft.com/office/drawing/2014/main" id="{FD3E35B0-C992-4AF4-AD47-E9D8A332673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4" name="Line 83">
          <a:extLst>
            <a:ext uri="{FF2B5EF4-FFF2-40B4-BE49-F238E27FC236}">
              <a16:creationId xmlns:a16="http://schemas.microsoft.com/office/drawing/2014/main" id="{8AFD857A-4BDB-468C-A3F4-4EA99162FC8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5" name="Line 85">
          <a:extLst>
            <a:ext uri="{FF2B5EF4-FFF2-40B4-BE49-F238E27FC236}">
              <a16:creationId xmlns:a16="http://schemas.microsoft.com/office/drawing/2014/main" id="{0DA19FFF-6BF2-4B66-841D-A68626B39F0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6" name="Line 87">
          <a:extLst>
            <a:ext uri="{FF2B5EF4-FFF2-40B4-BE49-F238E27FC236}">
              <a16:creationId xmlns:a16="http://schemas.microsoft.com/office/drawing/2014/main" id="{395FEAA1-0FDE-4313-9FFE-43C6F03C392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7" name="Line 89">
          <a:extLst>
            <a:ext uri="{FF2B5EF4-FFF2-40B4-BE49-F238E27FC236}">
              <a16:creationId xmlns:a16="http://schemas.microsoft.com/office/drawing/2014/main" id="{BAE7D038-374B-42EC-82C3-1F28B335CE10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8" name="Line 745">
          <a:extLst>
            <a:ext uri="{FF2B5EF4-FFF2-40B4-BE49-F238E27FC236}">
              <a16:creationId xmlns:a16="http://schemas.microsoft.com/office/drawing/2014/main" id="{BBD33A7C-F708-4199-9BFC-1FA04255173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19" name="Line 747">
          <a:extLst>
            <a:ext uri="{FF2B5EF4-FFF2-40B4-BE49-F238E27FC236}">
              <a16:creationId xmlns:a16="http://schemas.microsoft.com/office/drawing/2014/main" id="{992E016C-8ABD-4F5C-87B7-497DBC570A8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0" name="Line 749">
          <a:extLst>
            <a:ext uri="{FF2B5EF4-FFF2-40B4-BE49-F238E27FC236}">
              <a16:creationId xmlns:a16="http://schemas.microsoft.com/office/drawing/2014/main" id="{D94E80B5-515B-4D05-BCAD-C1CDBF86112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1" name="Line 751">
          <a:extLst>
            <a:ext uri="{FF2B5EF4-FFF2-40B4-BE49-F238E27FC236}">
              <a16:creationId xmlns:a16="http://schemas.microsoft.com/office/drawing/2014/main" id="{A61855E8-FE39-47B6-B900-D0ECD98E605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2" name="Line 753">
          <a:extLst>
            <a:ext uri="{FF2B5EF4-FFF2-40B4-BE49-F238E27FC236}">
              <a16:creationId xmlns:a16="http://schemas.microsoft.com/office/drawing/2014/main" id="{3E52C897-3763-466A-A448-795F91C12765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3" name="Line 755">
          <a:extLst>
            <a:ext uri="{FF2B5EF4-FFF2-40B4-BE49-F238E27FC236}">
              <a16:creationId xmlns:a16="http://schemas.microsoft.com/office/drawing/2014/main" id="{9ABCFB56-B44B-4761-8140-3774F3DD185A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4" name="Line 757">
          <a:extLst>
            <a:ext uri="{FF2B5EF4-FFF2-40B4-BE49-F238E27FC236}">
              <a16:creationId xmlns:a16="http://schemas.microsoft.com/office/drawing/2014/main" id="{C06B5D58-760E-4602-8BF5-192EE4BC549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5" name="Line 759">
          <a:extLst>
            <a:ext uri="{FF2B5EF4-FFF2-40B4-BE49-F238E27FC236}">
              <a16:creationId xmlns:a16="http://schemas.microsoft.com/office/drawing/2014/main" id="{EF79FCD6-58F4-4091-8A71-0CC1D7DED10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6" name="Line 761">
          <a:extLst>
            <a:ext uri="{FF2B5EF4-FFF2-40B4-BE49-F238E27FC236}">
              <a16:creationId xmlns:a16="http://schemas.microsoft.com/office/drawing/2014/main" id="{9EB542C3-1F88-4B8B-AD23-13595F968821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7" name="Line 763">
          <a:extLst>
            <a:ext uri="{FF2B5EF4-FFF2-40B4-BE49-F238E27FC236}">
              <a16:creationId xmlns:a16="http://schemas.microsoft.com/office/drawing/2014/main" id="{616AB1BC-D7C6-4D59-8648-55034631742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8" name="Line 765">
          <a:extLst>
            <a:ext uri="{FF2B5EF4-FFF2-40B4-BE49-F238E27FC236}">
              <a16:creationId xmlns:a16="http://schemas.microsoft.com/office/drawing/2014/main" id="{351CACC7-28B6-487C-8A77-6BFC1E90CB02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29" name="Line 767">
          <a:extLst>
            <a:ext uri="{FF2B5EF4-FFF2-40B4-BE49-F238E27FC236}">
              <a16:creationId xmlns:a16="http://schemas.microsoft.com/office/drawing/2014/main" id="{C707232A-7E08-425F-B707-6CD3798C519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0" name="Line 769">
          <a:extLst>
            <a:ext uri="{FF2B5EF4-FFF2-40B4-BE49-F238E27FC236}">
              <a16:creationId xmlns:a16="http://schemas.microsoft.com/office/drawing/2014/main" id="{C5A74D66-27CB-49F9-906C-56096C7D567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1" name="Line 771">
          <a:extLst>
            <a:ext uri="{FF2B5EF4-FFF2-40B4-BE49-F238E27FC236}">
              <a16:creationId xmlns:a16="http://schemas.microsoft.com/office/drawing/2014/main" id="{D5FE1DB4-461C-499B-B401-571A3DF62DF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2" name="Line 773">
          <a:extLst>
            <a:ext uri="{FF2B5EF4-FFF2-40B4-BE49-F238E27FC236}">
              <a16:creationId xmlns:a16="http://schemas.microsoft.com/office/drawing/2014/main" id="{D3CF8207-6995-4051-951C-EB381448256F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3" name="Line 775">
          <a:extLst>
            <a:ext uri="{FF2B5EF4-FFF2-40B4-BE49-F238E27FC236}">
              <a16:creationId xmlns:a16="http://schemas.microsoft.com/office/drawing/2014/main" id="{E9FF0B76-1A01-4850-9013-FAECD4C3F0D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4" name="Line 777">
          <a:extLst>
            <a:ext uri="{FF2B5EF4-FFF2-40B4-BE49-F238E27FC236}">
              <a16:creationId xmlns:a16="http://schemas.microsoft.com/office/drawing/2014/main" id="{DDC2AE04-6D7D-48B8-A4B0-0B0960A3FF11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5" name="Line 779">
          <a:extLst>
            <a:ext uri="{FF2B5EF4-FFF2-40B4-BE49-F238E27FC236}">
              <a16:creationId xmlns:a16="http://schemas.microsoft.com/office/drawing/2014/main" id="{A6B286E9-6E46-4DEF-A2A9-E40231AE85E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6" name="Line 781">
          <a:extLst>
            <a:ext uri="{FF2B5EF4-FFF2-40B4-BE49-F238E27FC236}">
              <a16:creationId xmlns:a16="http://schemas.microsoft.com/office/drawing/2014/main" id="{01FAFF3A-8DCB-4490-8B24-5AD9701510AE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7" name="Line 783">
          <a:extLst>
            <a:ext uri="{FF2B5EF4-FFF2-40B4-BE49-F238E27FC236}">
              <a16:creationId xmlns:a16="http://schemas.microsoft.com/office/drawing/2014/main" id="{6FC6C196-ED33-448F-9EB7-EC243E61D86F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8" name="Line 785">
          <a:extLst>
            <a:ext uri="{FF2B5EF4-FFF2-40B4-BE49-F238E27FC236}">
              <a16:creationId xmlns:a16="http://schemas.microsoft.com/office/drawing/2014/main" id="{DFAF84D4-1F4E-41FD-882A-1F96B8199E5E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39" name="Line 787">
          <a:extLst>
            <a:ext uri="{FF2B5EF4-FFF2-40B4-BE49-F238E27FC236}">
              <a16:creationId xmlns:a16="http://schemas.microsoft.com/office/drawing/2014/main" id="{2150FB78-2F95-4015-8885-32311CECF03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40" name="Line 789">
          <a:extLst>
            <a:ext uri="{FF2B5EF4-FFF2-40B4-BE49-F238E27FC236}">
              <a16:creationId xmlns:a16="http://schemas.microsoft.com/office/drawing/2014/main" id="{5B0CDB24-EB2C-40FC-A11C-33A34345F48C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241" name="Line 791">
          <a:extLst>
            <a:ext uri="{FF2B5EF4-FFF2-40B4-BE49-F238E27FC236}">
              <a16:creationId xmlns:a16="http://schemas.microsoft.com/office/drawing/2014/main" id="{722A31DB-08F6-4C9A-ACC6-6DDEF274F47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2" name="Line 43">
          <a:extLst>
            <a:ext uri="{FF2B5EF4-FFF2-40B4-BE49-F238E27FC236}">
              <a16:creationId xmlns:a16="http://schemas.microsoft.com/office/drawing/2014/main" id="{D2D0F304-565B-4A24-B3DD-821FEBED3463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3" name="Line 45">
          <a:extLst>
            <a:ext uri="{FF2B5EF4-FFF2-40B4-BE49-F238E27FC236}">
              <a16:creationId xmlns:a16="http://schemas.microsoft.com/office/drawing/2014/main" id="{3A8E032C-CACF-452F-83A7-D85BD7961E7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4" name="Line 47">
          <a:extLst>
            <a:ext uri="{FF2B5EF4-FFF2-40B4-BE49-F238E27FC236}">
              <a16:creationId xmlns:a16="http://schemas.microsoft.com/office/drawing/2014/main" id="{F13F27D1-F796-49F6-AD55-8B738042808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5" name="Line 49">
          <a:extLst>
            <a:ext uri="{FF2B5EF4-FFF2-40B4-BE49-F238E27FC236}">
              <a16:creationId xmlns:a16="http://schemas.microsoft.com/office/drawing/2014/main" id="{F5F487BA-87E2-47C3-93D0-C944302F513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6" name="Line 51">
          <a:extLst>
            <a:ext uri="{FF2B5EF4-FFF2-40B4-BE49-F238E27FC236}">
              <a16:creationId xmlns:a16="http://schemas.microsoft.com/office/drawing/2014/main" id="{CB86D967-80F8-42FA-BCE6-3FE71FBE340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7" name="Line 53">
          <a:extLst>
            <a:ext uri="{FF2B5EF4-FFF2-40B4-BE49-F238E27FC236}">
              <a16:creationId xmlns:a16="http://schemas.microsoft.com/office/drawing/2014/main" id="{1325FC3E-878D-47E1-A184-9D4D31487826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8" name="Line 55">
          <a:extLst>
            <a:ext uri="{FF2B5EF4-FFF2-40B4-BE49-F238E27FC236}">
              <a16:creationId xmlns:a16="http://schemas.microsoft.com/office/drawing/2014/main" id="{A63F86A2-CD6B-43CA-9945-88AE457F4BA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49" name="Line 57">
          <a:extLst>
            <a:ext uri="{FF2B5EF4-FFF2-40B4-BE49-F238E27FC236}">
              <a16:creationId xmlns:a16="http://schemas.microsoft.com/office/drawing/2014/main" id="{F1AEB03D-2CC0-4B11-9D79-5DFD3E9CDE1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0" name="Line 59">
          <a:extLst>
            <a:ext uri="{FF2B5EF4-FFF2-40B4-BE49-F238E27FC236}">
              <a16:creationId xmlns:a16="http://schemas.microsoft.com/office/drawing/2014/main" id="{E8D6BC2A-217A-45FC-B1D1-945BEA64E53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1" name="Line 61">
          <a:extLst>
            <a:ext uri="{FF2B5EF4-FFF2-40B4-BE49-F238E27FC236}">
              <a16:creationId xmlns:a16="http://schemas.microsoft.com/office/drawing/2014/main" id="{AD98430C-C012-4DE7-BA50-45F2AD1A9B4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2" name="Line 63">
          <a:extLst>
            <a:ext uri="{FF2B5EF4-FFF2-40B4-BE49-F238E27FC236}">
              <a16:creationId xmlns:a16="http://schemas.microsoft.com/office/drawing/2014/main" id="{894CD1EA-0311-434C-8025-C0FF725D984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3" name="Line 65">
          <a:extLst>
            <a:ext uri="{FF2B5EF4-FFF2-40B4-BE49-F238E27FC236}">
              <a16:creationId xmlns:a16="http://schemas.microsoft.com/office/drawing/2014/main" id="{4040B106-69D2-4CD2-B23A-EEF55D36BD2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4" name="Line 67">
          <a:extLst>
            <a:ext uri="{FF2B5EF4-FFF2-40B4-BE49-F238E27FC236}">
              <a16:creationId xmlns:a16="http://schemas.microsoft.com/office/drawing/2014/main" id="{4FD9AF6A-B72E-4813-A21F-D237B7F566A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5" name="Line 69">
          <a:extLst>
            <a:ext uri="{FF2B5EF4-FFF2-40B4-BE49-F238E27FC236}">
              <a16:creationId xmlns:a16="http://schemas.microsoft.com/office/drawing/2014/main" id="{813974FF-547F-4FDA-B7A8-07DDA9D9B116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6" name="Line 71">
          <a:extLst>
            <a:ext uri="{FF2B5EF4-FFF2-40B4-BE49-F238E27FC236}">
              <a16:creationId xmlns:a16="http://schemas.microsoft.com/office/drawing/2014/main" id="{C04BD57D-4AF4-4C6D-B3B7-C6738748614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7" name="Line 73">
          <a:extLst>
            <a:ext uri="{FF2B5EF4-FFF2-40B4-BE49-F238E27FC236}">
              <a16:creationId xmlns:a16="http://schemas.microsoft.com/office/drawing/2014/main" id="{47E77698-B6FA-4073-8236-9924B8DBCBC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8" name="Line 75">
          <a:extLst>
            <a:ext uri="{FF2B5EF4-FFF2-40B4-BE49-F238E27FC236}">
              <a16:creationId xmlns:a16="http://schemas.microsoft.com/office/drawing/2014/main" id="{EA513320-B10A-4B80-B339-27E150C6868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59" name="Line 77">
          <a:extLst>
            <a:ext uri="{FF2B5EF4-FFF2-40B4-BE49-F238E27FC236}">
              <a16:creationId xmlns:a16="http://schemas.microsoft.com/office/drawing/2014/main" id="{89276F41-34EC-4E8B-93B2-6BB4067AA103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0" name="Line 79">
          <a:extLst>
            <a:ext uri="{FF2B5EF4-FFF2-40B4-BE49-F238E27FC236}">
              <a16:creationId xmlns:a16="http://schemas.microsoft.com/office/drawing/2014/main" id="{225D3B2F-7754-4DB1-9580-8AC55C72177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1" name="Line 81">
          <a:extLst>
            <a:ext uri="{FF2B5EF4-FFF2-40B4-BE49-F238E27FC236}">
              <a16:creationId xmlns:a16="http://schemas.microsoft.com/office/drawing/2014/main" id="{0F864A98-3E67-4806-8638-327C049A8D4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2" name="Line 83">
          <a:extLst>
            <a:ext uri="{FF2B5EF4-FFF2-40B4-BE49-F238E27FC236}">
              <a16:creationId xmlns:a16="http://schemas.microsoft.com/office/drawing/2014/main" id="{BE95587E-8535-4F91-9B04-866A42C75D7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3" name="Line 85">
          <a:extLst>
            <a:ext uri="{FF2B5EF4-FFF2-40B4-BE49-F238E27FC236}">
              <a16:creationId xmlns:a16="http://schemas.microsoft.com/office/drawing/2014/main" id="{F95FF0E9-0972-4FFC-8A20-36433F87ED7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4" name="Line 87">
          <a:extLst>
            <a:ext uri="{FF2B5EF4-FFF2-40B4-BE49-F238E27FC236}">
              <a16:creationId xmlns:a16="http://schemas.microsoft.com/office/drawing/2014/main" id="{C5FF7E3D-597E-43BA-9CC9-7C2EAC127AF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5" name="Line 89">
          <a:extLst>
            <a:ext uri="{FF2B5EF4-FFF2-40B4-BE49-F238E27FC236}">
              <a16:creationId xmlns:a16="http://schemas.microsoft.com/office/drawing/2014/main" id="{9A77F9C9-D6DE-4344-8175-17DCDE80FA3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6" name="Line 745">
          <a:extLst>
            <a:ext uri="{FF2B5EF4-FFF2-40B4-BE49-F238E27FC236}">
              <a16:creationId xmlns:a16="http://schemas.microsoft.com/office/drawing/2014/main" id="{75B6DE8C-0364-46F9-B160-74CFF74B08F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7" name="Line 747">
          <a:extLst>
            <a:ext uri="{FF2B5EF4-FFF2-40B4-BE49-F238E27FC236}">
              <a16:creationId xmlns:a16="http://schemas.microsoft.com/office/drawing/2014/main" id="{51C5EA3F-314D-4F7B-B13E-D47C4E6BD8B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8" name="Line 749">
          <a:extLst>
            <a:ext uri="{FF2B5EF4-FFF2-40B4-BE49-F238E27FC236}">
              <a16:creationId xmlns:a16="http://schemas.microsoft.com/office/drawing/2014/main" id="{F3855451-E586-4262-91FF-7D88B39A034B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69" name="Line 751">
          <a:extLst>
            <a:ext uri="{FF2B5EF4-FFF2-40B4-BE49-F238E27FC236}">
              <a16:creationId xmlns:a16="http://schemas.microsoft.com/office/drawing/2014/main" id="{231C8201-D59E-4615-9117-22E5837D6141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0" name="Line 753">
          <a:extLst>
            <a:ext uri="{FF2B5EF4-FFF2-40B4-BE49-F238E27FC236}">
              <a16:creationId xmlns:a16="http://schemas.microsoft.com/office/drawing/2014/main" id="{889E6A35-C38E-42CE-A0BF-EB86D571DEE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1" name="Line 755">
          <a:extLst>
            <a:ext uri="{FF2B5EF4-FFF2-40B4-BE49-F238E27FC236}">
              <a16:creationId xmlns:a16="http://schemas.microsoft.com/office/drawing/2014/main" id="{C277A3B9-0B27-4169-8341-B2990F73500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2" name="Line 757">
          <a:extLst>
            <a:ext uri="{FF2B5EF4-FFF2-40B4-BE49-F238E27FC236}">
              <a16:creationId xmlns:a16="http://schemas.microsoft.com/office/drawing/2014/main" id="{CE40DDA3-BA9D-4F61-9071-C209576C0DD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3" name="Line 759">
          <a:extLst>
            <a:ext uri="{FF2B5EF4-FFF2-40B4-BE49-F238E27FC236}">
              <a16:creationId xmlns:a16="http://schemas.microsoft.com/office/drawing/2014/main" id="{3F0C548F-3FCB-46E5-90F9-8797402834F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4" name="Line 761">
          <a:extLst>
            <a:ext uri="{FF2B5EF4-FFF2-40B4-BE49-F238E27FC236}">
              <a16:creationId xmlns:a16="http://schemas.microsoft.com/office/drawing/2014/main" id="{E126F77A-C837-4EF0-A1B1-9F4EF3B98C76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5" name="Line 763">
          <a:extLst>
            <a:ext uri="{FF2B5EF4-FFF2-40B4-BE49-F238E27FC236}">
              <a16:creationId xmlns:a16="http://schemas.microsoft.com/office/drawing/2014/main" id="{0EF1F5A2-2E0F-45B4-A0DD-AEE0A9D55FF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6" name="Line 765">
          <a:extLst>
            <a:ext uri="{FF2B5EF4-FFF2-40B4-BE49-F238E27FC236}">
              <a16:creationId xmlns:a16="http://schemas.microsoft.com/office/drawing/2014/main" id="{5F88B246-7B1A-423D-A486-ED119C5BCE6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7" name="Line 767">
          <a:extLst>
            <a:ext uri="{FF2B5EF4-FFF2-40B4-BE49-F238E27FC236}">
              <a16:creationId xmlns:a16="http://schemas.microsoft.com/office/drawing/2014/main" id="{4475B7C4-52D4-4AC2-AAB5-EB53D98871E0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8" name="Line 769">
          <a:extLst>
            <a:ext uri="{FF2B5EF4-FFF2-40B4-BE49-F238E27FC236}">
              <a16:creationId xmlns:a16="http://schemas.microsoft.com/office/drawing/2014/main" id="{E9940F22-CC7E-4318-9327-16A3CC775031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79" name="Line 771">
          <a:extLst>
            <a:ext uri="{FF2B5EF4-FFF2-40B4-BE49-F238E27FC236}">
              <a16:creationId xmlns:a16="http://schemas.microsoft.com/office/drawing/2014/main" id="{05EF5684-4E25-43BE-A275-BA198DCDBF5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0" name="Line 773">
          <a:extLst>
            <a:ext uri="{FF2B5EF4-FFF2-40B4-BE49-F238E27FC236}">
              <a16:creationId xmlns:a16="http://schemas.microsoft.com/office/drawing/2014/main" id="{11DCDFD0-78B7-4D9D-9269-B9AB2069D36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1" name="Line 775">
          <a:extLst>
            <a:ext uri="{FF2B5EF4-FFF2-40B4-BE49-F238E27FC236}">
              <a16:creationId xmlns:a16="http://schemas.microsoft.com/office/drawing/2014/main" id="{35209E15-AC29-4369-B8EC-4D9ED701697B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2" name="Line 777">
          <a:extLst>
            <a:ext uri="{FF2B5EF4-FFF2-40B4-BE49-F238E27FC236}">
              <a16:creationId xmlns:a16="http://schemas.microsoft.com/office/drawing/2014/main" id="{0D0633C4-ED02-4B3F-A4A3-F351778576F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3" name="Line 779">
          <a:extLst>
            <a:ext uri="{FF2B5EF4-FFF2-40B4-BE49-F238E27FC236}">
              <a16:creationId xmlns:a16="http://schemas.microsoft.com/office/drawing/2014/main" id="{F94E6CDB-3172-415B-86F4-CEADBE08E70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4" name="Line 781">
          <a:extLst>
            <a:ext uri="{FF2B5EF4-FFF2-40B4-BE49-F238E27FC236}">
              <a16:creationId xmlns:a16="http://schemas.microsoft.com/office/drawing/2014/main" id="{3043067D-6C8F-4BC3-93AE-602A3A188E5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5" name="Line 783">
          <a:extLst>
            <a:ext uri="{FF2B5EF4-FFF2-40B4-BE49-F238E27FC236}">
              <a16:creationId xmlns:a16="http://schemas.microsoft.com/office/drawing/2014/main" id="{006D3B5C-C951-4806-9DB5-6013787E371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6" name="Line 785">
          <a:extLst>
            <a:ext uri="{FF2B5EF4-FFF2-40B4-BE49-F238E27FC236}">
              <a16:creationId xmlns:a16="http://schemas.microsoft.com/office/drawing/2014/main" id="{11B667DE-520A-43A7-9DBC-CE0D38C86F7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7" name="Line 787">
          <a:extLst>
            <a:ext uri="{FF2B5EF4-FFF2-40B4-BE49-F238E27FC236}">
              <a16:creationId xmlns:a16="http://schemas.microsoft.com/office/drawing/2014/main" id="{A0614AAF-E6FF-401C-AC3C-C34E4A05C51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8" name="Line 789">
          <a:extLst>
            <a:ext uri="{FF2B5EF4-FFF2-40B4-BE49-F238E27FC236}">
              <a16:creationId xmlns:a16="http://schemas.microsoft.com/office/drawing/2014/main" id="{117E113D-84FA-4753-9601-319754C0B35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289" name="Line 791">
          <a:extLst>
            <a:ext uri="{FF2B5EF4-FFF2-40B4-BE49-F238E27FC236}">
              <a16:creationId xmlns:a16="http://schemas.microsoft.com/office/drawing/2014/main" id="{C998FE06-D9D8-4A2A-BC9E-8235D74AAEDC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0" name="Line 43">
          <a:extLst>
            <a:ext uri="{FF2B5EF4-FFF2-40B4-BE49-F238E27FC236}">
              <a16:creationId xmlns:a16="http://schemas.microsoft.com/office/drawing/2014/main" id="{464E0613-E29D-4C8A-9AF1-D1B42F3DAAB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1" name="Line 45">
          <a:extLst>
            <a:ext uri="{FF2B5EF4-FFF2-40B4-BE49-F238E27FC236}">
              <a16:creationId xmlns:a16="http://schemas.microsoft.com/office/drawing/2014/main" id="{AC5E2E95-9D81-44BB-BE70-7954E2AE7D7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2" name="Line 47">
          <a:extLst>
            <a:ext uri="{FF2B5EF4-FFF2-40B4-BE49-F238E27FC236}">
              <a16:creationId xmlns:a16="http://schemas.microsoft.com/office/drawing/2014/main" id="{63436468-CDE8-47A2-8488-B6890EB7FFA0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3" name="Line 49">
          <a:extLst>
            <a:ext uri="{FF2B5EF4-FFF2-40B4-BE49-F238E27FC236}">
              <a16:creationId xmlns:a16="http://schemas.microsoft.com/office/drawing/2014/main" id="{CD3E895C-7DD0-45A5-B0B3-33B8C2B8D0B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4" name="Line 51">
          <a:extLst>
            <a:ext uri="{FF2B5EF4-FFF2-40B4-BE49-F238E27FC236}">
              <a16:creationId xmlns:a16="http://schemas.microsoft.com/office/drawing/2014/main" id="{4529B129-D4BD-44CB-AB35-87CA591B0B8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5" name="Line 53">
          <a:extLst>
            <a:ext uri="{FF2B5EF4-FFF2-40B4-BE49-F238E27FC236}">
              <a16:creationId xmlns:a16="http://schemas.microsoft.com/office/drawing/2014/main" id="{B7EA0A66-760D-433F-9645-F50D65C9C8C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6" name="Line 55">
          <a:extLst>
            <a:ext uri="{FF2B5EF4-FFF2-40B4-BE49-F238E27FC236}">
              <a16:creationId xmlns:a16="http://schemas.microsoft.com/office/drawing/2014/main" id="{A55266D5-37EE-41F8-A508-0B183F81CCA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7" name="Line 57">
          <a:extLst>
            <a:ext uri="{FF2B5EF4-FFF2-40B4-BE49-F238E27FC236}">
              <a16:creationId xmlns:a16="http://schemas.microsoft.com/office/drawing/2014/main" id="{F687440C-9A6D-4BFF-94C4-B2FBBB6D2AAF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8" name="Line 59">
          <a:extLst>
            <a:ext uri="{FF2B5EF4-FFF2-40B4-BE49-F238E27FC236}">
              <a16:creationId xmlns:a16="http://schemas.microsoft.com/office/drawing/2014/main" id="{DD29ABC6-F7A0-4CBB-9718-0A305F7B865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299" name="Line 61">
          <a:extLst>
            <a:ext uri="{FF2B5EF4-FFF2-40B4-BE49-F238E27FC236}">
              <a16:creationId xmlns:a16="http://schemas.microsoft.com/office/drawing/2014/main" id="{016E6C11-A86C-49DD-AE11-D0CB9B3034C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0" name="Line 63">
          <a:extLst>
            <a:ext uri="{FF2B5EF4-FFF2-40B4-BE49-F238E27FC236}">
              <a16:creationId xmlns:a16="http://schemas.microsoft.com/office/drawing/2014/main" id="{FD30B720-F9F7-4C0A-A97D-1223353EE98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1" name="Line 65">
          <a:extLst>
            <a:ext uri="{FF2B5EF4-FFF2-40B4-BE49-F238E27FC236}">
              <a16:creationId xmlns:a16="http://schemas.microsoft.com/office/drawing/2014/main" id="{D0B7E057-5D4E-432C-9381-EA1C35DB453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2" name="Line 67">
          <a:extLst>
            <a:ext uri="{FF2B5EF4-FFF2-40B4-BE49-F238E27FC236}">
              <a16:creationId xmlns:a16="http://schemas.microsoft.com/office/drawing/2014/main" id="{BA3581AF-D026-4E59-BA3A-256FF3C5E50F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3" name="Line 69">
          <a:extLst>
            <a:ext uri="{FF2B5EF4-FFF2-40B4-BE49-F238E27FC236}">
              <a16:creationId xmlns:a16="http://schemas.microsoft.com/office/drawing/2014/main" id="{7B2C7CA1-FA72-4921-AC92-0968FE1D4A3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4" name="Line 71">
          <a:extLst>
            <a:ext uri="{FF2B5EF4-FFF2-40B4-BE49-F238E27FC236}">
              <a16:creationId xmlns:a16="http://schemas.microsoft.com/office/drawing/2014/main" id="{69615BD6-A48D-42B3-9EA2-B3913CA1007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5" name="Line 73">
          <a:extLst>
            <a:ext uri="{FF2B5EF4-FFF2-40B4-BE49-F238E27FC236}">
              <a16:creationId xmlns:a16="http://schemas.microsoft.com/office/drawing/2014/main" id="{AFA06216-09CA-4B97-9B68-59A5F9503BB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6" name="Line 75">
          <a:extLst>
            <a:ext uri="{FF2B5EF4-FFF2-40B4-BE49-F238E27FC236}">
              <a16:creationId xmlns:a16="http://schemas.microsoft.com/office/drawing/2014/main" id="{057BD91B-BC60-40CE-A716-78C4DD06E59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7" name="Line 77">
          <a:extLst>
            <a:ext uri="{FF2B5EF4-FFF2-40B4-BE49-F238E27FC236}">
              <a16:creationId xmlns:a16="http://schemas.microsoft.com/office/drawing/2014/main" id="{709317F0-3800-4D79-AAC0-9C6950789E5B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8" name="Line 79">
          <a:extLst>
            <a:ext uri="{FF2B5EF4-FFF2-40B4-BE49-F238E27FC236}">
              <a16:creationId xmlns:a16="http://schemas.microsoft.com/office/drawing/2014/main" id="{BF7B403C-2457-4B5C-A8F8-CC50C3A1E66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09" name="Line 81">
          <a:extLst>
            <a:ext uri="{FF2B5EF4-FFF2-40B4-BE49-F238E27FC236}">
              <a16:creationId xmlns:a16="http://schemas.microsoft.com/office/drawing/2014/main" id="{75AAE9F9-08E7-4DE8-9608-C0A8B8AD4777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0" name="Line 83">
          <a:extLst>
            <a:ext uri="{FF2B5EF4-FFF2-40B4-BE49-F238E27FC236}">
              <a16:creationId xmlns:a16="http://schemas.microsoft.com/office/drawing/2014/main" id="{2AD0130B-2840-4A06-BCC3-32BE8D6E7D0B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1" name="Line 85">
          <a:extLst>
            <a:ext uri="{FF2B5EF4-FFF2-40B4-BE49-F238E27FC236}">
              <a16:creationId xmlns:a16="http://schemas.microsoft.com/office/drawing/2014/main" id="{117E4D01-DE92-420F-A7E4-77A9191E28B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2" name="Line 87">
          <a:extLst>
            <a:ext uri="{FF2B5EF4-FFF2-40B4-BE49-F238E27FC236}">
              <a16:creationId xmlns:a16="http://schemas.microsoft.com/office/drawing/2014/main" id="{2F7129A4-D2C7-4D69-8221-B3DFB74ED10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3" name="Line 89">
          <a:extLst>
            <a:ext uri="{FF2B5EF4-FFF2-40B4-BE49-F238E27FC236}">
              <a16:creationId xmlns:a16="http://schemas.microsoft.com/office/drawing/2014/main" id="{E5E2FE39-E663-4A13-9912-DA5F2E7A55D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4" name="Line 745">
          <a:extLst>
            <a:ext uri="{FF2B5EF4-FFF2-40B4-BE49-F238E27FC236}">
              <a16:creationId xmlns:a16="http://schemas.microsoft.com/office/drawing/2014/main" id="{7691ECC2-3934-4473-9EC5-E4659418C12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5" name="Line 747">
          <a:extLst>
            <a:ext uri="{FF2B5EF4-FFF2-40B4-BE49-F238E27FC236}">
              <a16:creationId xmlns:a16="http://schemas.microsoft.com/office/drawing/2014/main" id="{4C89E63B-EAA4-4B07-8BC0-B1D1FB6ADFB4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6" name="Line 749">
          <a:extLst>
            <a:ext uri="{FF2B5EF4-FFF2-40B4-BE49-F238E27FC236}">
              <a16:creationId xmlns:a16="http://schemas.microsoft.com/office/drawing/2014/main" id="{DEC5B40D-BB63-40EE-877F-6B05544BB19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7" name="Line 751">
          <a:extLst>
            <a:ext uri="{FF2B5EF4-FFF2-40B4-BE49-F238E27FC236}">
              <a16:creationId xmlns:a16="http://schemas.microsoft.com/office/drawing/2014/main" id="{84986432-1A4B-415C-9E9F-4F2838D2E44F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8" name="Line 753">
          <a:extLst>
            <a:ext uri="{FF2B5EF4-FFF2-40B4-BE49-F238E27FC236}">
              <a16:creationId xmlns:a16="http://schemas.microsoft.com/office/drawing/2014/main" id="{2D7BAA93-561B-47A3-B536-C898260C301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19" name="Line 755">
          <a:extLst>
            <a:ext uri="{FF2B5EF4-FFF2-40B4-BE49-F238E27FC236}">
              <a16:creationId xmlns:a16="http://schemas.microsoft.com/office/drawing/2014/main" id="{88175143-8124-49CF-B583-56E8CE332077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0" name="Line 757">
          <a:extLst>
            <a:ext uri="{FF2B5EF4-FFF2-40B4-BE49-F238E27FC236}">
              <a16:creationId xmlns:a16="http://schemas.microsoft.com/office/drawing/2014/main" id="{DCDE4F75-659F-4088-B3A5-939400D043EE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1" name="Line 759">
          <a:extLst>
            <a:ext uri="{FF2B5EF4-FFF2-40B4-BE49-F238E27FC236}">
              <a16:creationId xmlns:a16="http://schemas.microsoft.com/office/drawing/2014/main" id="{DE1B53D7-6D17-4EE4-A5FC-0872F567342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2" name="Line 761">
          <a:extLst>
            <a:ext uri="{FF2B5EF4-FFF2-40B4-BE49-F238E27FC236}">
              <a16:creationId xmlns:a16="http://schemas.microsoft.com/office/drawing/2014/main" id="{D820DF94-BBC7-4F68-87BB-17791FD9EB83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3" name="Line 763">
          <a:extLst>
            <a:ext uri="{FF2B5EF4-FFF2-40B4-BE49-F238E27FC236}">
              <a16:creationId xmlns:a16="http://schemas.microsoft.com/office/drawing/2014/main" id="{CD8F084E-6210-4069-8FE2-63A860DBF4E4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4" name="Line 765">
          <a:extLst>
            <a:ext uri="{FF2B5EF4-FFF2-40B4-BE49-F238E27FC236}">
              <a16:creationId xmlns:a16="http://schemas.microsoft.com/office/drawing/2014/main" id="{559BE4D3-6B57-4A36-A8AE-1BAA69223C74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5" name="Line 767">
          <a:extLst>
            <a:ext uri="{FF2B5EF4-FFF2-40B4-BE49-F238E27FC236}">
              <a16:creationId xmlns:a16="http://schemas.microsoft.com/office/drawing/2014/main" id="{BED8BDE5-CA3B-452E-BEC9-6EAA91EF8F0E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6" name="Line 769">
          <a:extLst>
            <a:ext uri="{FF2B5EF4-FFF2-40B4-BE49-F238E27FC236}">
              <a16:creationId xmlns:a16="http://schemas.microsoft.com/office/drawing/2014/main" id="{EACAFDAD-F242-47A6-8663-39E3BB0F1AC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7" name="Line 771">
          <a:extLst>
            <a:ext uri="{FF2B5EF4-FFF2-40B4-BE49-F238E27FC236}">
              <a16:creationId xmlns:a16="http://schemas.microsoft.com/office/drawing/2014/main" id="{D950671A-D638-477E-9664-D84105A54EE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8" name="Line 773">
          <a:extLst>
            <a:ext uri="{FF2B5EF4-FFF2-40B4-BE49-F238E27FC236}">
              <a16:creationId xmlns:a16="http://schemas.microsoft.com/office/drawing/2014/main" id="{B88F4E3F-1FB7-4267-B17D-796CC591D4A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29" name="Line 775">
          <a:extLst>
            <a:ext uri="{FF2B5EF4-FFF2-40B4-BE49-F238E27FC236}">
              <a16:creationId xmlns:a16="http://schemas.microsoft.com/office/drawing/2014/main" id="{5E3E3730-F083-40C0-AD02-D96DFB838600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0" name="Line 777">
          <a:extLst>
            <a:ext uri="{FF2B5EF4-FFF2-40B4-BE49-F238E27FC236}">
              <a16:creationId xmlns:a16="http://schemas.microsoft.com/office/drawing/2014/main" id="{31FF80EE-811A-44DE-AFD2-7CCF78C7CF5F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1" name="Line 779">
          <a:extLst>
            <a:ext uri="{FF2B5EF4-FFF2-40B4-BE49-F238E27FC236}">
              <a16:creationId xmlns:a16="http://schemas.microsoft.com/office/drawing/2014/main" id="{F7132F84-F613-4C44-BE67-C886E063B5D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2" name="Line 781">
          <a:extLst>
            <a:ext uri="{FF2B5EF4-FFF2-40B4-BE49-F238E27FC236}">
              <a16:creationId xmlns:a16="http://schemas.microsoft.com/office/drawing/2014/main" id="{088EED3B-3A8C-40A3-A70F-1588309B281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3" name="Line 783">
          <a:extLst>
            <a:ext uri="{FF2B5EF4-FFF2-40B4-BE49-F238E27FC236}">
              <a16:creationId xmlns:a16="http://schemas.microsoft.com/office/drawing/2014/main" id="{E7CCC02A-7309-4CC3-A920-8D2860E8E40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4" name="Line 785">
          <a:extLst>
            <a:ext uri="{FF2B5EF4-FFF2-40B4-BE49-F238E27FC236}">
              <a16:creationId xmlns:a16="http://schemas.microsoft.com/office/drawing/2014/main" id="{D82C5D43-144A-4851-A5CE-03F05BA9BAF7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5" name="Line 787">
          <a:extLst>
            <a:ext uri="{FF2B5EF4-FFF2-40B4-BE49-F238E27FC236}">
              <a16:creationId xmlns:a16="http://schemas.microsoft.com/office/drawing/2014/main" id="{A85C9644-8F5B-412C-A6D5-2CDBE2019EF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6" name="Line 789">
          <a:extLst>
            <a:ext uri="{FF2B5EF4-FFF2-40B4-BE49-F238E27FC236}">
              <a16:creationId xmlns:a16="http://schemas.microsoft.com/office/drawing/2014/main" id="{C4164A0E-AC69-4C76-9426-BB797BA6A9E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337" name="Line 791">
          <a:extLst>
            <a:ext uri="{FF2B5EF4-FFF2-40B4-BE49-F238E27FC236}">
              <a16:creationId xmlns:a16="http://schemas.microsoft.com/office/drawing/2014/main" id="{51CD5079-F307-444B-9BE2-CAA448B91FE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38" name="Line 43">
          <a:extLst>
            <a:ext uri="{FF2B5EF4-FFF2-40B4-BE49-F238E27FC236}">
              <a16:creationId xmlns:a16="http://schemas.microsoft.com/office/drawing/2014/main" id="{4555F536-2E88-44EC-826C-DDC65973C0E7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39" name="Line 45">
          <a:extLst>
            <a:ext uri="{FF2B5EF4-FFF2-40B4-BE49-F238E27FC236}">
              <a16:creationId xmlns:a16="http://schemas.microsoft.com/office/drawing/2014/main" id="{5CC6F7C7-79BE-4F8D-BAFD-D515B3D01271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0" name="Line 47">
          <a:extLst>
            <a:ext uri="{FF2B5EF4-FFF2-40B4-BE49-F238E27FC236}">
              <a16:creationId xmlns:a16="http://schemas.microsoft.com/office/drawing/2014/main" id="{E4D4BE19-855C-4F68-8F56-3F988298A18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1" name="Line 49">
          <a:extLst>
            <a:ext uri="{FF2B5EF4-FFF2-40B4-BE49-F238E27FC236}">
              <a16:creationId xmlns:a16="http://schemas.microsoft.com/office/drawing/2014/main" id="{B37CD2F8-EE68-4410-AB87-807EFE0B0D9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2" name="Line 51">
          <a:extLst>
            <a:ext uri="{FF2B5EF4-FFF2-40B4-BE49-F238E27FC236}">
              <a16:creationId xmlns:a16="http://schemas.microsoft.com/office/drawing/2014/main" id="{6E597CC1-9BBB-4D83-AE04-0BE7070BD961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3" name="Line 53">
          <a:extLst>
            <a:ext uri="{FF2B5EF4-FFF2-40B4-BE49-F238E27FC236}">
              <a16:creationId xmlns:a16="http://schemas.microsoft.com/office/drawing/2014/main" id="{4AC11002-C51B-45A2-A045-5EC42CE69D0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4" name="Line 55">
          <a:extLst>
            <a:ext uri="{FF2B5EF4-FFF2-40B4-BE49-F238E27FC236}">
              <a16:creationId xmlns:a16="http://schemas.microsoft.com/office/drawing/2014/main" id="{66E43E44-A161-4E8F-8AAA-BBB1768AC1F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5" name="Line 57">
          <a:extLst>
            <a:ext uri="{FF2B5EF4-FFF2-40B4-BE49-F238E27FC236}">
              <a16:creationId xmlns:a16="http://schemas.microsoft.com/office/drawing/2014/main" id="{A0198E94-9B69-4D39-A3B2-BCC3B8AF772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6" name="Line 59">
          <a:extLst>
            <a:ext uri="{FF2B5EF4-FFF2-40B4-BE49-F238E27FC236}">
              <a16:creationId xmlns:a16="http://schemas.microsoft.com/office/drawing/2014/main" id="{E7C98213-CB07-4156-A34C-FED6A8D6ADF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7" name="Line 61">
          <a:extLst>
            <a:ext uri="{FF2B5EF4-FFF2-40B4-BE49-F238E27FC236}">
              <a16:creationId xmlns:a16="http://schemas.microsoft.com/office/drawing/2014/main" id="{6DC7FFFA-DDAB-4F18-8A09-B54659B98D34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8" name="Line 63">
          <a:extLst>
            <a:ext uri="{FF2B5EF4-FFF2-40B4-BE49-F238E27FC236}">
              <a16:creationId xmlns:a16="http://schemas.microsoft.com/office/drawing/2014/main" id="{48560AA7-F71B-41AB-9B7C-67EBE8F2401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49" name="Line 65">
          <a:extLst>
            <a:ext uri="{FF2B5EF4-FFF2-40B4-BE49-F238E27FC236}">
              <a16:creationId xmlns:a16="http://schemas.microsoft.com/office/drawing/2014/main" id="{7CE795CE-02D1-4B62-90F3-81F9DC324EF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0" name="Line 67">
          <a:extLst>
            <a:ext uri="{FF2B5EF4-FFF2-40B4-BE49-F238E27FC236}">
              <a16:creationId xmlns:a16="http://schemas.microsoft.com/office/drawing/2014/main" id="{88C140C4-A0C7-4301-AF43-D67BAF6BBC3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1" name="Line 69">
          <a:extLst>
            <a:ext uri="{FF2B5EF4-FFF2-40B4-BE49-F238E27FC236}">
              <a16:creationId xmlns:a16="http://schemas.microsoft.com/office/drawing/2014/main" id="{7C414CC2-C90A-41FE-A1B8-6D34F93E2671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2" name="Line 71">
          <a:extLst>
            <a:ext uri="{FF2B5EF4-FFF2-40B4-BE49-F238E27FC236}">
              <a16:creationId xmlns:a16="http://schemas.microsoft.com/office/drawing/2014/main" id="{3B786785-D05E-4770-B3FF-E2F3D9B9338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3" name="Line 73">
          <a:extLst>
            <a:ext uri="{FF2B5EF4-FFF2-40B4-BE49-F238E27FC236}">
              <a16:creationId xmlns:a16="http://schemas.microsoft.com/office/drawing/2014/main" id="{353CFC8C-9BE3-4463-A069-5A86EAEE95E2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4" name="Line 75">
          <a:extLst>
            <a:ext uri="{FF2B5EF4-FFF2-40B4-BE49-F238E27FC236}">
              <a16:creationId xmlns:a16="http://schemas.microsoft.com/office/drawing/2014/main" id="{27080EE2-807E-4602-9861-515362F35CD4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5" name="Line 77">
          <a:extLst>
            <a:ext uri="{FF2B5EF4-FFF2-40B4-BE49-F238E27FC236}">
              <a16:creationId xmlns:a16="http://schemas.microsoft.com/office/drawing/2014/main" id="{1C5B38BB-9C39-4917-AD2C-5F284727953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6" name="Line 79">
          <a:extLst>
            <a:ext uri="{FF2B5EF4-FFF2-40B4-BE49-F238E27FC236}">
              <a16:creationId xmlns:a16="http://schemas.microsoft.com/office/drawing/2014/main" id="{4DDD594D-BC60-4643-9E0A-8C9730E710E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7" name="Line 81">
          <a:extLst>
            <a:ext uri="{FF2B5EF4-FFF2-40B4-BE49-F238E27FC236}">
              <a16:creationId xmlns:a16="http://schemas.microsoft.com/office/drawing/2014/main" id="{B121DEC5-4099-48F1-ABEF-48F7E269249E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8" name="Line 83">
          <a:extLst>
            <a:ext uri="{FF2B5EF4-FFF2-40B4-BE49-F238E27FC236}">
              <a16:creationId xmlns:a16="http://schemas.microsoft.com/office/drawing/2014/main" id="{7F301C78-5B40-4F3C-8139-C0E2BABE9B7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59" name="Line 85">
          <a:extLst>
            <a:ext uri="{FF2B5EF4-FFF2-40B4-BE49-F238E27FC236}">
              <a16:creationId xmlns:a16="http://schemas.microsoft.com/office/drawing/2014/main" id="{9C347D34-3A93-4E77-9BAB-2A1FB0F988C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0" name="Line 87">
          <a:extLst>
            <a:ext uri="{FF2B5EF4-FFF2-40B4-BE49-F238E27FC236}">
              <a16:creationId xmlns:a16="http://schemas.microsoft.com/office/drawing/2014/main" id="{001CB9F6-8E60-4911-BA93-3673EEAEAFF3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1" name="Line 89">
          <a:extLst>
            <a:ext uri="{FF2B5EF4-FFF2-40B4-BE49-F238E27FC236}">
              <a16:creationId xmlns:a16="http://schemas.microsoft.com/office/drawing/2014/main" id="{91ABDBA0-10E8-4DD9-97E7-D289212689C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2" name="Line 745">
          <a:extLst>
            <a:ext uri="{FF2B5EF4-FFF2-40B4-BE49-F238E27FC236}">
              <a16:creationId xmlns:a16="http://schemas.microsoft.com/office/drawing/2014/main" id="{9C04818B-71E5-4959-AA9A-F978C8F66C3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3" name="Line 747">
          <a:extLst>
            <a:ext uri="{FF2B5EF4-FFF2-40B4-BE49-F238E27FC236}">
              <a16:creationId xmlns:a16="http://schemas.microsoft.com/office/drawing/2014/main" id="{B3B0DFB8-8CE5-4422-9C8E-96DA100646E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4" name="Line 749">
          <a:extLst>
            <a:ext uri="{FF2B5EF4-FFF2-40B4-BE49-F238E27FC236}">
              <a16:creationId xmlns:a16="http://schemas.microsoft.com/office/drawing/2014/main" id="{9BF4006C-4064-4433-B054-0A675C7D03B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5" name="Line 751">
          <a:extLst>
            <a:ext uri="{FF2B5EF4-FFF2-40B4-BE49-F238E27FC236}">
              <a16:creationId xmlns:a16="http://schemas.microsoft.com/office/drawing/2014/main" id="{C5A2C054-280B-4F42-8426-AEA09255888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6" name="Line 753">
          <a:extLst>
            <a:ext uri="{FF2B5EF4-FFF2-40B4-BE49-F238E27FC236}">
              <a16:creationId xmlns:a16="http://schemas.microsoft.com/office/drawing/2014/main" id="{F936612E-1402-459F-82FE-5F1112D40197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7" name="Line 755">
          <a:extLst>
            <a:ext uri="{FF2B5EF4-FFF2-40B4-BE49-F238E27FC236}">
              <a16:creationId xmlns:a16="http://schemas.microsoft.com/office/drawing/2014/main" id="{4F50D060-3306-4D6A-93D3-7EA967D89E83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8" name="Line 757">
          <a:extLst>
            <a:ext uri="{FF2B5EF4-FFF2-40B4-BE49-F238E27FC236}">
              <a16:creationId xmlns:a16="http://schemas.microsoft.com/office/drawing/2014/main" id="{EE5EBB6E-504B-41DE-8D64-58CB71561E9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69" name="Line 759">
          <a:extLst>
            <a:ext uri="{FF2B5EF4-FFF2-40B4-BE49-F238E27FC236}">
              <a16:creationId xmlns:a16="http://schemas.microsoft.com/office/drawing/2014/main" id="{B68F8BA4-4210-4C26-9460-B43C6E17E48D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0" name="Line 761">
          <a:extLst>
            <a:ext uri="{FF2B5EF4-FFF2-40B4-BE49-F238E27FC236}">
              <a16:creationId xmlns:a16="http://schemas.microsoft.com/office/drawing/2014/main" id="{135D7B9A-FBCD-4228-BB25-3B9123F8A019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1" name="Line 763">
          <a:extLst>
            <a:ext uri="{FF2B5EF4-FFF2-40B4-BE49-F238E27FC236}">
              <a16:creationId xmlns:a16="http://schemas.microsoft.com/office/drawing/2014/main" id="{3021D312-DEE7-4BC5-BEFE-F97B1D359B7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2" name="Line 765">
          <a:extLst>
            <a:ext uri="{FF2B5EF4-FFF2-40B4-BE49-F238E27FC236}">
              <a16:creationId xmlns:a16="http://schemas.microsoft.com/office/drawing/2014/main" id="{6154F27F-0AB8-4FD9-96BE-AD2508A04609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3" name="Line 767">
          <a:extLst>
            <a:ext uri="{FF2B5EF4-FFF2-40B4-BE49-F238E27FC236}">
              <a16:creationId xmlns:a16="http://schemas.microsoft.com/office/drawing/2014/main" id="{3C7DEE76-ED0E-44E6-BC5F-937327F9644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4" name="Line 769">
          <a:extLst>
            <a:ext uri="{FF2B5EF4-FFF2-40B4-BE49-F238E27FC236}">
              <a16:creationId xmlns:a16="http://schemas.microsoft.com/office/drawing/2014/main" id="{E1C497B8-473B-4D6C-8129-7ED22CBEEB5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5" name="Line 771">
          <a:extLst>
            <a:ext uri="{FF2B5EF4-FFF2-40B4-BE49-F238E27FC236}">
              <a16:creationId xmlns:a16="http://schemas.microsoft.com/office/drawing/2014/main" id="{D41AAD7C-F732-4D81-BE9C-4E0F1DCA8B1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6" name="Line 773">
          <a:extLst>
            <a:ext uri="{FF2B5EF4-FFF2-40B4-BE49-F238E27FC236}">
              <a16:creationId xmlns:a16="http://schemas.microsoft.com/office/drawing/2014/main" id="{4B21E097-8A21-4309-9354-E5AD4DCBCDD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7" name="Line 775">
          <a:extLst>
            <a:ext uri="{FF2B5EF4-FFF2-40B4-BE49-F238E27FC236}">
              <a16:creationId xmlns:a16="http://schemas.microsoft.com/office/drawing/2014/main" id="{5969C221-BBCE-4B18-9AAA-1F5253FA2904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8" name="Line 777">
          <a:extLst>
            <a:ext uri="{FF2B5EF4-FFF2-40B4-BE49-F238E27FC236}">
              <a16:creationId xmlns:a16="http://schemas.microsoft.com/office/drawing/2014/main" id="{72051D4D-CDA7-4804-BE06-63D820BFBA6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79" name="Line 779">
          <a:extLst>
            <a:ext uri="{FF2B5EF4-FFF2-40B4-BE49-F238E27FC236}">
              <a16:creationId xmlns:a16="http://schemas.microsoft.com/office/drawing/2014/main" id="{510094D3-0697-4D6A-9D68-85C5E66B302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0" name="Line 781">
          <a:extLst>
            <a:ext uri="{FF2B5EF4-FFF2-40B4-BE49-F238E27FC236}">
              <a16:creationId xmlns:a16="http://schemas.microsoft.com/office/drawing/2014/main" id="{6FA101AB-7E47-470C-B98A-3BB227F9E9C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1" name="Line 783">
          <a:extLst>
            <a:ext uri="{FF2B5EF4-FFF2-40B4-BE49-F238E27FC236}">
              <a16:creationId xmlns:a16="http://schemas.microsoft.com/office/drawing/2014/main" id="{48FCFFC4-BDF1-42FE-AD82-C6893F94319D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2" name="Line 785">
          <a:extLst>
            <a:ext uri="{FF2B5EF4-FFF2-40B4-BE49-F238E27FC236}">
              <a16:creationId xmlns:a16="http://schemas.microsoft.com/office/drawing/2014/main" id="{50B6D101-F9A9-40AE-8DE9-2DF8CBF2AF0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3" name="Line 787">
          <a:extLst>
            <a:ext uri="{FF2B5EF4-FFF2-40B4-BE49-F238E27FC236}">
              <a16:creationId xmlns:a16="http://schemas.microsoft.com/office/drawing/2014/main" id="{EB9006F5-EEB6-480B-9E67-D39FCEF87DF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4" name="Line 789">
          <a:extLst>
            <a:ext uri="{FF2B5EF4-FFF2-40B4-BE49-F238E27FC236}">
              <a16:creationId xmlns:a16="http://schemas.microsoft.com/office/drawing/2014/main" id="{F9C98C5D-8DC7-4951-8ED9-87AE7DE19B22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385" name="Line 791">
          <a:extLst>
            <a:ext uri="{FF2B5EF4-FFF2-40B4-BE49-F238E27FC236}">
              <a16:creationId xmlns:a16="http://schemas.microsoft.com/office/drawing/2014/main" id="{7DA782BF-4180-4DBC-AF1B-0470B890F7A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86" name="Line 43">
          <a:extLst>
            <a:ext uri="{FF2B5EF4-FFF2-40B4-BE49-F238E27FC236}">
              <a16:creationId xmlns:a16="http://schemas.microsoft.com/office/drawing/2014/main" id="{E1D7DA61-A3A9-434E-ABB6-FC1415061B17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87" name="Line 45">
          <a:extLst>
            <a:ext uri="{FF2B5EF4-FFF2-40B4-BE49-F238E27FC236}">
              <a16:creationId xmlns:a16="http://schemas.microsoft.com/office/drawing/2014/main" id="{EDDD6835-7070-4823-AF1C-78960DD7633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88" name="Line 47">
          <a:extLst>
            <a:ext uri="{FF2B5EF4-FFF2-40B4-BE49-F238E27FC236}">
              <a16:creationId xmlns:a16="http://schemas.microsoft.com/office/drawing/2014/main" id="{175B03BA-9DD5-464D-B90B-E3CBDA016E21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89" name="Line 49">
          <a:extLst>
            <a:ext uri="{FF2B5EF4-FFF2-40B4-BE49-F238E27FC236}">
              <a16:creationId xmlns:a16="http://schemas.microsoft.com/office/drawing/2014/main" id="{072FB228-32C6-4FE4-B363-3E79A0F77B5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0" name="Line 51">
          <a:extLst>
            <a:ext uri="{FF2B5EF4-FFF2-40B4-BE49-F238E27FC236}">
              <a16:creationId xmlns:a16="http://schemas.microsoft.com/office/drawing/2014/main" id="{DB879F3A-FABF-4A62-8658-A19B878A483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1" name="Line 53">
          <a:extLst>
            <a:ext uri="{FF2B5EF4-FFF2-40B4-BE49-F238E27FC236}">
              <a16:creationId xmlns:a16="http://schemas.microsoft.com/office/drawing/2014/main" id="{2B8CDAB7-9897-470B-96D6-A24940C497A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2" name="Line 55">
          <a:extLst>
            <a:ext uri="{FF2B5EF4-FFF2-40B4-BE49-F238E27FC236}">
              <a16:creationId xmlns:a16="http://schemas.microsoft.com/office/drawing/2014/main" id="{FAEBDA40-5370-4DC3-9D6C-F86B60F64BD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3" name="Line 57">
          <a:extLst>
            <a:ext uri="{FF2B5EF4-FFF2-40B4-BE49-F238E27FC236}">
              <a16:creationId xmlns:a16="http://schemas.microsoft.com/office/drawing/2014/main" id="{0806D4BA-6577-4408-A747-D8E51308FBB6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4" name="Line 59">
          <a:extLst>
            <a:ext uri="{FF2B5EF4-FFF2-40B4-BE49-F238E27FC236}">
              <a16:creationId xmlns:a16="http://schemas.microsoft.com/office/drawing/2014/main" id="{3C0F1080-1AD6-4B47-B0CC-53994CA0F46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5" name="Line 61">
          <a:extLst>
            <a:ext uri="{FF2B5EF4-FFF2-40B4-BE49-F238E27FC236}">
              <a16:creationId xmlns:a16="http://schemas.microsoft.com/office/drawing/2014/main" id="{9B186EDD-89C2-4C5D-BDBC-00726016F16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6" name="Line 63">
          <a:extLst>
            <a:ext uri="{FF2B5EF4-FFF2-40B4-BE49-F238E27FC236}">
              <a16:creationId xmlns:a16="http://schemas.microsoft.com/office/drawing/2014/main" id="{1838AB4A-F96F-4CB2-B9DB-2FF4100F138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7" name="Line 65">
          <a:extLst>
            <a:ext uri="{FF2B5EF4-FFF2-40B4-BE49-F238E27FC236}">
              <a16:creationId xmlns:a16="http://schemas.microsoft.com/office/drawing/2014/main" id="{B77120F9-EA60-4122-B35F-7C532CC45A2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8" name="Line 67">
          <a:extLst>
            <a:ext uri="{FF2B5EF4-FFF2-40B4-BE49-F238E27FC236}">
              <a16:creationId xmlns:a16="http://schemas.microsoft.com/office/drawing/2014/main" id="{E545C141-8567-4634-8D46-EC9AE555F61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399" name="Line 69">
          <a:extLst>
            <a:ext uri="{FF2B5EF4-FFF2-40B4-BE49-F238E27FC236}">
              <a16:creationId xmlns:a16="http://schemas.microsoft.com/office/drawing/2014/main" id="{9B32B4F1-F834-4EB2-ABB5-7CFD870B3F6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0" name="Line 71">
          <a:extLst>
            <a:ext uri="{FF2B5EF4-FFF2-40B4-BE49-F238E27FC236}">
              <a16:creationId xmlns:a16="http://schemas.microsoft.com/office/drawing/2014/main" id="{C9554FF6-154F-4D58-87D3-D5BA0370BDC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1" name="Line 73">
          <a:extLst>
            <a:ext uri="{FF2B5EF4-FFF2-40B4-BE49-F238E27FC236}">
              <a16:creationId xmlns:a16="http://schemas.microsoft.com/office/drawing/2014/main" id="{E5514BE6-C050-43D0-9C56-00D25D5717E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2" name="Line 75">
          <a:extLst>
            <a:ext uri="{FF2B5EF4-FFF2-40B4-BE49-F238E27FC236}">
              <a16:creationId xmlns:a16="http://schemas.microsoft.com/office/drawing/2014/main" id="{E43B8D9F-67EC-4DB0-8FFD-ED209CAF5B7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3" name="Line 77">
          <a:extLst>
            <a:ext uri="{FF2B5EF4-FFF2-40B4-BE49-F238E27FC236}">
              <a16:creationId xmlns:a16="http://schemas.microsoft.com/office/drawing/2014/main" id="{77994F21-C982-47AE-A8B8-5B373692B7D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4" name="Line 79">
          <a:extLst>
            <a:ext uri="{FF2B5EF4-FFF2-40B4-BE49-F238E27FC236}">
              <a16:creationId xmlns:a16="http://schemas.microsoft.com/office/drawing/2014/main" id="{BAE37A94-D7FC-448E-A9BB-D3EBD9CB6071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5" name="Line 81">
          <a:extLst>
            <a:ext uri="{FF2B5EF4-FFF2-40B4-BE49-F238E27FC236}">
              <a16:creationId xmlns:a16="http://schemas.microsoft.com/office/drawing/2014/main" id="{957F95A3-834B-4768-AD89-6E95AA545CE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6" name="Line 83">
          <a:extLst>
            <a:ext uri="{FF2B5EF4-FFF2-40B4-BE49-F238E27FC236}">
              <a16:creationId xmlns:a16="http://schemas.microsoft.com/office/drawing/2014/main" id="{ED9678D4-5E1C-4A04-99B7-A8E0B8A276B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7" name="Line 85">
          <a:extLst>
            <a:ext uri="{FF2B5EF4-FFF2-40B4-BE49-F238E27FC236}">
              <a16:creationId xmlns:a16="http://schemas.microsoft.com/office/drawing/2014/main" id="{0029858C-770B-446E-A37E-256D2C81D7DD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8" name="Line 87">
          <a:extLst>
            <a:ext uri="{FF2B5EF4-FFF2-40B4-BE49-F238E27FC236}">
              <a16:creationId xmlns:a16="http://schemas.microsoft.com/office/drawing/2014/main" id="{1988FE5F-3212-4341-9625-EFC49A5EC89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09" name="Line 89">
          <a:extLst>
            <a:ext uri="{FF2B5EF4-FFF2-40B4-BE49-F238E27FC236}">
              <a16:creationId xmlns:a16="http://schemas.microsoft.com/office/drawing/2014/main" id="{467DACE8-CF61-4B08-A854-23E1E94FC63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0" name="Line 745">
          <a:extLst>
            <a:ext uri="{FF2B5EF4-FFF2-40B4-BE49-F238E27FC236}">
              <a16:creationId xmlns:a16="http://schemas.microsoft.com/office/drawing/2014/main" id="{E6036378-550B-474A-B7DC-6D65040FA7A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1" name="Line 747">
          <a:extLst>
            <a:ext uri="{FF2B5EF4-FFF2-40B4-BE49-F238E27FC236}">
              <a16:creationId xmlns:a16="http://schemas.microsoft.com/office/drawing/2014/main" id="{68D227F5-CF49-46C6-9F5F-7D783E08EDA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2" name="Line 749">
          <a:extLst>
            <a:ext uri="{FF2B5EF4-FFF2-40B4-BE49-F238E27FC236}">
              <a16:creationId xmlns:a16="http://schemas.microsoft.com/office/drawing/2014/main" id="{6DA962D8-3A02-4448-9EAC-58CB492274A0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3" name="Line 751">
          <a:extLst>
            <a:ext uri="{FF2B5EF4-FFF2-40B4-BE49-F238E27FC236}">
              <a16:creationId xmlns:a16="http://schemas.microsoft.com/office/drawing/2014/main" id="{9F778738-E738-428A-9869-1C2BF703771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4" name="Line 753">
          <a:extLst>
            <a:ext uri="{FF2B5EF4-FFF2-40B4-BE49-F238E27FC236}">
              <a16:creationId xmlns:a16="http://schemas.microsoft.com/office/drawing/2014/main" id="{337F6231-4DE6-4D44-9898-2A57F850420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5" name="Line 755">
          <a:extLst>
            <a:ext uri="{FF2B5EF4-FFF2-40B4-BE49-F238E27FC236}">
              <a16:creationId xmlns:a16="http://schemas.microsoft.com/office/drawing/2014/main" id="{38114376-9CC5-42DA-9241-75E38658616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6" name="Line 757">
          <a:extLst>
            <a:ext uri="{FF2B5EF4-FFF2-40B4-BE49-F238E27FC236}">
              <a16:creationId xmlns:a16="http://schemas.microsoft.com/office/drawing/2014/main" id="{BE5E1AE0-94E0-4A1B-8AB4-4CAFD028F79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7" name="Line 759">
          <a:extLst>
            <a:ext uri="{FF2B5EF4-FFF2-40B4-BE49-F238E27FC236}">
              <a16:creationId xmlns:a16="http://schemas.microsoft.com/office/drawing/2014/main" id="{DC45D3C2-3F24-4B3F-BB6C-11097FE05E7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8" name="Line 761">
          <a:extLst>
            <a:ext uri="{FF2B5EF4-FFF2-40B4-BE49-F238E27FC236}">
              <a16:creationId xmlns:a16="http://schemas.microsoft.com/office/drawing/2014/main" id="{EAB69453-809C-489E-9DED-A60AC198DB8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19" name="Line 763">
          <a:extLst>
            <a:ext uri="{FF2B5EF4-FFF2-40B4-BE49-F238E27FC236}">
              <a16:creationId xmlns:a16="http://schemas.microsoft.com/office/drawing/2014/main" id="{D1636FF8-909C-4DD4-9CEC-F68BDD3168C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0" name="Line 765">
          <a:extLst>
            <a:ext uri="{FF2B5EF4-FFF2-40B4-BE49-F238E27FC236}">
              <a16:creationId xmlns:a16="http://schemas.microsoft.com/office/drawing/2014/main" id="{E38B07BB-C330-44A6-8309-D2A88A45F08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1" name="Line 767">
          <a:extLst>
            <a:ext uri="{FF2B5EF4-FFF2-40B4-BE49-F238E27FC236}">
              <a16:creationId xmlns:a16="http://schemas.microsoft.com/office/drawing/2014/main" id="{B932CE85-6761-4DA1-82CD-3E5DE420075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2" name="Line 769">
          <a:extLst>
            <a:ext uri="{FF2B5EF4-FFF2-40B4-BE49-F238E27FC236}">
              <a16:creationId xmlns:a16="http://schemas.microsoft.com/office/drawing/2014/main" id="{98C31AED-80CE-4D18-8246-EF04DAD5C49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3" name="Line 771">
          <a:extLst>
            <a:ext uri="{FF2B5EF4-FFF2-40B4-BE49-F238E27FC236}">
              <a16:creationId xmlns:a16="http://schemas.microsoft.com/office/drawing/2014/main" id="{6E0E2D30-D564-41B1-B357-71050C5B9C7D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4" name="Line 773">
          <a:extLst>
            <a:ext uri="{FF2B5EF4-FFF2-40B4-BE49-F238E27FC236}">
              <a16:creationId xmlns:a16="http://schemas.microsoft.com/office/drawing/2014/main" id="{80AB2AAC-5B45-4C96-A39A-6BE6BDBB52C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5" name="Line 775">
          <a:extLst>
            <a:ext uri="{FF2B5EF4-FFF2-40B4-BE49-F238E27FC236}">
              <a16:creationId xmlns:a16="http://schemas.microsoft.com/office/drawing/2014/main" id="{DDF27668-BB00-427A-A3C0-072AADB9E24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6" name="Line 777">
          <a:extLst>
            <a:ext uri="{FF2B5EF4-FFF2-40B4-BE49-F238E27FC236}">
              <a16:creationId xmlns:a16="http://schemas.microsoft.com/office/drawing/2014/main" id="{60E5BB0A-8087-41C2-B886-C99D5697EF97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7" name="Line 779">
          <a:extLst>
            <a:ext uri="{FF2B5EF4-FFF2-40B4-BE49-F238E27FC236}">
              <a16:creationId xmlns:a16="http://schemas.microsoft.com/office/drawing/2014/main" id="{3B9A5DA8-13D5-4279-AB35-83AAEF593220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8" name="Line 781">
          <a:extLst>
            <a:ext uri="{FF2B5EF4-FFF2-40B4-BE49-F238E27FC236}">
              <a16:creationId xmlns:a16="http://schemas.microsoft.com/office/drawing/2014/main" id="{4D008F02-E144-433E-999D-9EDCB0B6DAE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29" name="Line 783">
          <a:extLst>
            <a:ext uri="{FF2B5EF4-FFF2-40B4-BE49-F238E27FC236}">
              <a16:creationId xmlns:a16="http://schemas.microsoft.com/office/drawing/2014/main" id="{B49C96B4-E162-4C80-AFA5-AB11FBA19426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30" name="Line 785">
          <a:extLst>
            <a:ext uri="{FF2B5EF4-FFF2-40B4-BE49-F238E27FC236}">
              <a16:creationId xmlns:a16="http://schemas.microsoft.com/office/drawing/2014/main" id="{3556A0ED-386B-4246-B5E3-FDBFAC2B9CD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31" name="Line 787">
          <a:extLst>
            <a:ext uri="{FF2B5EF4-FFF2-40B4-BE49-F238E27FC236}">
              <a16:creationId xmlns:a16="http://schemas.microsoft.com/office/drawing/2014/main" id="{3E757C27-CCF0-49D4-A80F-A66417415B7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32" name="Line 789">
          <a:extLst>
            <a:ext uri="{FF2B5EF4-FFF2-40B4-BE49-F238E27FC236}">
              <a16:creationId xmlns:a16="http://schemas.microsoft.com/office/drawing/2014/main" id="{3E3B04A6-283C-4BCE-9897-AEC4B0FC211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433" name="Line 791">
          <a:extLst>
            <a:ext uri="{FF2B5EF4-FFF2-40B4-BE49-F238E27FC236}">
              <a16:creationId xmlns:a16="http://schemas.microsoft.com/office/drawing/2014/main" id="{C0A0478D-8BF7-42A1-AB75-7DAC9E2F8A1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4" name="Line 43">
          <a:extLst>
            <a:ext uri="{FF2B5EF4-FFF2-40B4-BE49-F238E27FC236}">
              <a16:creationId xmlns:a16="http://schemas.microsoft.com/office/drawing/2014/main" id="{68FA066B-5B31-455E-B6BE-878FF42E1DA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5" name="Line 45">
          <a:extLst>
            <a:ext uri="{FF2B5EF4-FFF2-40B4-BE49-F238E27FC236}">
              <a16:creationId xmlns:a16="http://schemas.microsoft.com/office/drawing/2014/main" id="{9D695E6E-CDFE-424E-AEE3-AA572C07397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6" name="Line 47">
          <a:extLst>
            <a:ext uri="{FF2B5EF4-FFF2-40B4-BE49-F238E27FC236}">
              <a16:creationId xmlns:a16="http://schemas.microsoft.com/office/drawing/2014/main" id="{69854EB3-B0BF-4360-8BED-F2FABB7EB168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7" name="Line 49">
          <a:extLst>
            <a:ext uri="{FF2B5EF4-FFF2-40B4-BE49-F238E27FC236}">
              <a16:creationId xmlns:a16="http://schemas.microsoft.com/office/drawing/2014/main" id="{FB94D22C-2545-41D7-834F-F55EA5DB0A2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8" name="Line 51">
          <a:extLst>
            <a:ext uri="{FF2B5EF4-FFF2-40B4-BE49-F238E27FC236}">
              <a16:creationId xmlns:a16="http://schemas.microsoft.com/office/drawing/2014/main" id="{168BEF9E-526B-4943-B650-78E4A5D1861D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39" name="Line 53">
          <a:extLst>
            <a:ext uri="{FF2B5EF4-FFF2-40B4-BE49-F238E27FC236}">
              <a16:creationId xmlns:a16="http://schemas.microsoft.com/office/drawing/2014/main" id="{AB989E91-C71C-4404-8613-B335B2C7A5D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0" name="Line 55">
          <a:extLst>
            <a:ext uri="{FF2B5EF4-FFF2-40B4-BE49-F238E27FC236}">
              <a16:creationId xmlns:a16="http://schemas.microsoft.com/office/drawing/2014/main" id="{F3B9DC82-C97F-437D-BBCD-4D339806EE2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1" name="Line 57">
          <a:extLst>
            <a:ext uri="{FF2B5EF4-FFF2-40B4-BE49-F238E27FC236}">
              <a16:creationId xmlns:a16="http://schemas.microsoft.com/office/drawing/2014/main" id="{651601A5-2628-45C5-B2B9-63A7BB6CEB7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2" name="Line 59">
          <a:extLst>
            <a:ext uri="{FF2B5EF4-FFF2-40B4-BE49-F238E27FC236}">
              <a16:creationId xmlns:a16="http://schemas.microsoft.com/office/drawing/2014/main" id="{97564703-65A0-4F39-BE8C-FD32413E43B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3" name="Line 61">
          <a:extLst>
            <a:ext uri="{FF2B5EF4-FFF2-40B4-BE49-F238E27FC236}">
              <a16:creationId xmlns:a16="http://schemas.microsoft.com/office/drawing/2014/main" id="{E83CA060-E596-4B2B-8C04-9650285EF10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4" name="Line 63">
          <a:extLst>
            <a:ext uri="{FF2B5EF4-FFF2-40B4-BE49-F238E27FC236}">
              <a16:creationId xmlns:a16="http://schemas.microsoft.com/office/drawing/2014/main" id="{682C78BB-C83B-441F-9E67-7A4BE740704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5" name="Line 65">
          <a:extLst>
            <a:ext uri="{FF2B5EF4-FFF2-40B4-BE49-F238E27FC236}">
              <a16:creationId xmlns:a16="http://schemas.microsoft.com/office/drawing/2014/main" id="{6439B14C-BEE9-4E9F-A181-0FDD55E031A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6" name="Line 67">
          <a:extLst>
            <a:ext uri="{FF2B5EF4-FFF2-40B4-BE49-F238E27FC236}">
              <a16:creationId xmlns:a16="http://schemas.microsoft.com/office/drawing/2014/main" id="{A7AE8289-0703-4013-AA3F-9781B659F26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7" name="Line 69">
          <a:extLst>
            <a:ext uri="{FF2B5EF4-FFF2-40B4-BE49-F238E27FC236}">
              <a16:creationId xmlns:a16="http://schemas.microsoft.com/office/drawing/2014/main" id="{12953B18-1E21-435B-AF1D-8CA44E1D69C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8" name="Line 71">
          <a:extLst>
            <a:ext uri="{FF2B5EF4-FFF2-40B4-BE49-F238E27FC236}">
              <a16:creationId xmlns:a16="http://schemas.microsoft.com/office/drawing/2014/main" id="{C1DB9DDB-CE1E-458B-AD52-6318820C7CC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49" name="Line 73">
          <a:extLst>
            <a:ext uri="{FF2B5EF4-FFF2-40B4-BE49-F238E27FC236}">
              <a16:creationId xmlns:a16="http://schemas.microsoft.com/office/drawing/2014/main" id="{6C1A9751-45CE-48D6-A4AD-2AA2B0731DC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0" name="Line 75">
          <a:extLst>
            <a:ext uri="{FF2B5EF4-FFF2-40B4-BE49-F238E27FC236}">
              <a16:creationId xmlns:a16="http://schemas.microsoft.com/office/drawing/2014/main" id="{AD11E11B-DF11-4433-8128-31AD16D47A6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1" name="Line 77">
          <a:extLst>
            <a:ext uri="{FF2B5EF4-FFF2-40B4-BE49-F238E27FC236}">
              <a16:creationId xmlns:a16="http://schemas.microsoft.com/office/drawing/2014/main" id="{2F3B7F38-096E-41E5-AE29-EFE3C44B20E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2" name="Line 79">
          <a:extLst>
            <a:ext uri="{FF2B5EF4-FFF2-40B4-BE49-F238E27FC236}">
              <a16:creationId xmlns:a16="http://schemas.microsoft.com/office/drawing/2014/main" id="{DF541173-8F75-45C7-84E3-86D6A417957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3" name="Line 81">
          <a:extLst>
            <a:ext uri="{FF2B5EF4-FFF2-40B4-BE49-F238E27FC236}">
              <a16:creationId xmlns:a16="http://schemas.microsoft.com/office/drawing/2014/main" id="{A2DCD3FB-3A16-4F4F-9A9A-9B3D6729604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4" name="Line 83">
          <a:extLst>
            <a:ext uri="{FF2B5EF4-FFF2-40B4-BE49-F238E27FC236}">
              <a16:creationId xmlns:a16="http://schemas.microsoft.com/office/drawing/2014/main" id="{AD7F82D6-D4C8-4A42-BDD5-F031AE63E022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5" name="Line 85">
          <a:extLst>
            <a:ext uri="{FF2B5EF4-FFF2-40B4-BE49-F238E27FC236}">
              <a16:creationId xmlns:a16="http://schemas.microsoft.com/office/drawing/2014/main" id="{465684D9-EB34-4FBF-85D2-DE729C549EB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6" name="Line 87">
          <a:extLst>
            <a:ext uri="{FF2B5EF4-FFF2-40B4-BE49-F238E27FC236}">
              <a16:creationId xmlns:a16="http://schemas.microsoft.com/office/drawing/2014/main" id="{A090D565-0737-44EA-BAD3-25F1A0BBA73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7" name="Line 89">
          <a:extLst>
            <a:ext uri="{FF2B5EF4-FFF2-40B4-BE49-F238E27FC236}">
              <a16:creationId xmlns:a16="http://schemas.microsoft.com/office/drawing/2014/main" id="{1EB83798-97CB-4969-A5D5-ECBEE6B82DB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8" name="Line 745">
          <a:extLst>
            <a:ext uri="{FF2B5EF4-FFF2-40B4-BE49-F238E27FC236}">
              <a16:creationId xmlns:a16="http://schemas.microsoft.com/office/drawing/2014/main" id="{F4C088A3-3A65-4547-902C-D95851644DA3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59" name="Line 747">
          <a:extLst>
            <a:ext uri="{FF2B5EF4-FFF2-40B4-BE49-F238E27FC236}">
              <a16:creationId xmlns:a16="http://schemas.microsoft.com/office/drawing/2014/main" id="{391D9517-609F-4BF5-ADB5-FB9DCC39A64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0" name="Line 749">
          <a:extLst>
            <a:ext uri="{FF2B5EF4-FFF2-40B4-BE49-F238E27FC236}">
              <a16:creationId xmlns:a16="http://schemas.microsoft.com/office/drawing/2014/main" id="{A14BDC67-E1D4-4396-8D05-E10085CC7DF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1" name="Line 751">
          <a:extLst>
            <a:ext uri="{FF2B5EF4-FFF2-40B4-BE49-F238E27FC236}">
              <a16:creationId xmlns:a16="http://schemas.microsoft.com/office/drawing/2014/main" id="{52AB2148-44F2-421C-8AC6-7977969717DD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2" name="Line 753">
          <a:extLst>
            <a:ext uri="{FF2B5EF4-FFF2-40B4-BE49-F238E27FC236}">
              <a16:creationId xmlns:a16="http://schemas.microsoft.com/office/drawing/2014/main" id="{BCC8446D-B2CA-4C56-A1FF-831D91CBF31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3" name="Line 755">
          <a:extLst>
            <a:ext uri="{FF2B5EF4-FFF2-40B4-BE49-F238E27FC236}">
              <a16:creationId xmlns:a16="http://schemas.microsoft.com/office/drawing/2014/main" id="{426364B8-554F-41CA-B135-AEAB0759631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4" name="Line 757">
          <a:extLst>
            <a:ext uri="{FF2B5EF4-FFF2-40B4-BE49-F238E27FC236}">
              <a16:creationId xmlns:a16="http://schemas.microsoft.com/office/drawing/2014/main" id="{9C43E5D4-50B1-400B-934F-FDB3CB9B44A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5" name="Line 759">
          <a:extLst>
            <a:ext uri="{FF2B5EF4-FFF2-40B4-BE49-F238E27FC236}">
              <a16:creationId xmlns:a16="http://schemas.microsoft.com/office/drawing/2014/main" id="{381B40B8-F2B1-4DB6-B2F6-ADF0290E93E3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6" name="Line 761">
          <a:extLst>
            <a:ext uri="{FF2B5EF4-FFF2-40B4-BE49-F238E27FC236}">
              <a16:creationId xmlns:a16="http://schemas.microsoft.com/office/drawing/2014/main" id="{7B2FB62F-E621-4C47-A484-D3027FA79CD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7" name="Line 763">
          <a:extLst>
            <a:ext uri="{FF2B5EF4-FFF2-40B4-BE49-F238E27FC236}">
              <a16:creationId xmlns:a16="http://schemas.microsoft.com/office/drawing/2014/main" id="{FE654484-380B-4BBF-8F46-F1DA4CF34C7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8" name="Line 765">
          <a:extLst>
            <a:ext uri="{FF2B5EF4-FFF2-40B4-BE49-F238E27FC236}">
              <a16:creationId xmlns:a16="http://schemas.microsoft.com/office/drawing/2014/main" id="{6D752CCC-B3E1-4C03-9F4E-24F707F56723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69" name="Line 767">
          <a:extLst>
            <a:ext uri="{FF2B5EF4-FFF2-40B4-BE49-F238E27FC236}">
              <a16:creationId xmlns:a16="http://schemas.microsoft.com/office/drawing/2014/main" id="{CD6B8785-3603-45F2-82D6-8349C7C71E1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0" name="Line 769">
          <a:extLst>
            <a:ext uri="{FF2B5EF4-FFF2-40B4-BE49-F238E27FC236}">
              <a16:creationId xmlns:a16="http://schemas.microsoft.com/office/drawing/2014/main" id="{2C302C4D-DE0E-4D15-A3E4-9CED76A5098F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1" name="Line 771">
          <a:extLst>
            <a:ext uri="{FF2B5EF4-FFF2-40B4-BE49-F238E27FC236}">
              <a16:creationId xmlns:a16="http://schemas.microsoft.com/office/drawing/2014/main" id="{82CAAB5E-CAE9-446E-AE6F-6BF1839C743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2" name="Line 773">
          <a:extLst>
            <a:ext uri="{FF2B5EF4-FFF2-40B4-BE49-F238E27FC236}">
              <a16:creationId xmlns:a16="http://schemas.microsoft.com/office/drawing/2014/main" id="{43122D1A-D335-4EC5-B92A-460BED8E6F5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3" name="Line 775">
          <a:extLst>
            <a:ext uri="{FF2B5EF4-FFF2-40B4-BE49-F238E27FC236}">
              <a16:creationId xmlns:a16="http://schemas.microsoft.com/office/drawing/2014/main" id="{E444AEEC-5C41-4199-A494-F378046D1432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4" name="Line 777">
          <a:extLst>
            <a:ext uri="{FF2B5EF4-FFF2-40B4-BE49-F238E27FC236}">
              <a16:creationId xmlns:a16="http://schemas.microsoft.com/office/drawing/2014/main" id="{60D01362-CE53-406E-B81A-574D90DDA9D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5" name="Line 779">
          <a:extLst>
            <a:ext uri="{FF2B5EF4-FFF2-40B4-BE49-F238E27FC236}">
              <a16:creationId xmlns:a16="http://schemas.microsoft.com/office/drawing/2014/main" id="{9E3268DA-213C-47D7-98E9-029A473F611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6" name="Line 781">
          <a:extLst>
            <a:ext uri="{FF2B5EF4-FFF2-40B4-BE49-F238E27FC236}">
              <a16:creationId xmlns:a16="http://schemas.microsoft.com/office/drawing/2014/main" id="{B5D1C840-0C0C-4270-8798-2918A189CEB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7" name="Line 783">
          <a:extLst>
            <a:ext uri="{FF2B5EF4-FFF2-40B4-BE49-F238E27FC236}">
              <a16:creationId xmlns:a16="http://schemas.microsoft.com/office/drawing/2014/main" id="{F64B19B2-2185-4379-B881-195AEA1E9C54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8" name="Line 785">
          <a:extLst>
            <a:ext uri="{FF2B5EF4-FFF2-40B4-BE49-F238E27FC236}">
              <a16:creationId xmlns:a16="http://schemas.microsoft.com/office/drawing/2014/main" id="{72C7E085-C3B0-4BD6-AEA7-A2E743C6CF6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79" name="Line 787">
          <a:extLst>
            <a:ext uri="{FF2B5EF4-FFF2-40B4-BE49-F238E27FC236}">
              <a16:creationId xmlns:a16="http://schemas.microsoft.com/office/drawing/2014/main" id="{C95903DD-F6F2-406A-A1E9-E6FA19C286E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80" name="Line 789">
          <a:extLst>
            <a:ext uri="{FF2B5EF4-FFF2-40B4-BE49-F238E27FC236}">
              <a16:creationId xmlns:a16="http://schemas.microsoft.com/office/drawing/2014/main" id="{939F2E7B-92B5-4375-801D-F98C3087380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481" name="Line 791">
          <a:extLst>
            <a:ext uri="{FF2B5EF4-FFF2-40B4-BE49-F238E27FC236}">
              <a16:creationId xmlns:a16="http://schemas.microsoft.com/office/drawing/2014/main" id="{C77B3A80-CE39-4732-B6CE-B7E6ADE8FFB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2" name="Line 43">
          <a:extLst>
            <a:ext uri="{FF2B5EF4-FFF2-40B4-BE49-F238E27FC236}">
              <a16:creationId xmlns:a16="http://schemas.microsoft.com/office/drawing/2014/main" id="{73CBD83C-0BFB-40E9-85B9-5B52084970C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3" name="Line 45">
          <a:extLst>
            <a:ext uri="{FF2B5EF4-FFF2-40B4-BE49-F238E27FC236}">
              <a16:creationId xmlns:a16="http://schemas.microsoft.com/office/drawing/2014/main" id="{368E2D23-DD82-436F-B455-9D16D9DB40B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4" name="Line 47">
          <a:extLst>
            <a:ext uri="{FF2B5EF4-FFF2-40B4-BE49-F238E27FC236}">
              <a16:creationId xmlns:a16="http://schemas.microsoft.com/office/drawing/2014/main" id="{5E89F214-55BE-4503-9E3C-C26625F5BFC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5" name="Line 49">
          <a:extLst>
            <a:ext uri="{FF2B5EF4-FFF2-40B4-BE49-F238E27FC236}">
              <a16:creationId xmlns:a16="http://schemas.microsoft.com/office/drawing/2014/main" id="{6C3D4AD6-C3C9-41E7-A0E5-2614B50BD53D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6" name="Line 51">
          <a:extLst>
            <a:ext uri="{FF2B5EF4-FFF2-40B4-BE49-F238E27FC236}">
              <a16:creationId xmlns:a16="http://schemas.microsoft.com/office/drawing/2014/main" id="{8AF722E5-48D7-490E-8E25-4D5F0E3E67D5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7" name="Line 53">
          <a:extLst>
            <a:ext uri="{FF2B5EF4-FFF2-40B4-BE49-F238E27FC236}">
              <a16:creationId xmlns:a16="http://schemas.microsoft.com/office/drawing/2014/main" id="{C3314FAB-A261-4266-9584-B84D4E5C2B8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8" name="Line 55">
          <a:extLst>
            <a:ext uri="{FF2B5EF4-FFF2-40B4-BE49-F238E27FC236}">
              <a16:creationId xmlns:a16="http://schemas.microsoft.com/office/drawing/2014/main" id="{85F682DD-FC42-482C-A9EB-CC58D78B674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89" name="Line 57">
          <a:extLst>
            <a:ext uri="{FF2B5EF4-FFF2-40B4-BE49-F238E27FC236}">
              <a16:creationId xmlns:a16="http://schemas.microsoft.com/office/drawing/2014/main" id="{222644B3-8A92-497B-9FAE-E9D07CF08E3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0" name="Line 59">
          <a:extLst>
            <a:ext uri="{FF2B5EF4-FFF2-40B4-BE49-F238E27FC236}">
              <a16:creationId xmlns:a16="http://schemas.microsoft.com/office/drawing/2014/main" id="{C782D319-11ED-4C66-BE8D-ED74D915ED1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1" name="Line 61">
          <a:extLst>
            <a:ext uri="{FF2B5EF4-FFF2-40B4-BE49-F238E27FC236}">
              <a16:creationId xmlns:a16="http://schemas.microsoft.com/office/drawing/2014/main" id="{B5DACBDE-1131-4C6D-9ADC-D04DD429B91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2" name="Line 63">
          <a:extLst>
            <a:ext uri="{FF2B5EF4-FFF2-40B4-BE49-F238E27FC236}">
              <a16:creationId xmlns:a16="http://schemas.microsoft.com/office/drawing/2014/main" id="{8B3D4F54-A788-405F-BD95-62CB71B001F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3" name="Line 65">
          <a:extLst>
            <a:ext uri="{FF2B5EF4-FFF2-40B4-BE49-F238E27FC236}">
              <a16:creationId xmlns:a16="http://schemas.microsoft.com/office/drawing/2014/main" id="{6798C56D-138E-4EBD-A882-6144039EF04D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4" name="Line 67">
          <a:extLst>
            <a:ext uri="{FF2B5EF4-FFF2-40B4-BE49-F238E27FC236}">
              <a16:creationId xmlns:a16="http://schemas.microsoft.com/office/drawing/2014/main" id="{6C6BE05B-73BF-48EB-898D-169B86C1342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5" name="Line 69">
          <a:extLst>
            <a:ext uri="{FF2B5EF4-FFF2-40B4-BE49-F238E27FC236}">
              <a16:creationId xmlns:a16="http://schemas.microsoft.com/office/drawing/2014/main" id="{4CB4FDD2-60B5-4DEE-B788-BBDA268012F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6" name="Line 71">
          <a:extLst>
            <a:ext uri="{FF2B5EF4-FFF2-40B4-BE49-F238E27FC236}">
              <a16:creationId xmlns:a16="http://schemas.microsoft.com/office/drawing/2014/main" id="{434212EE-40FA-4E24-82FE-677021DEF0F0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7" name="Line 73">
          <a:extLst>
            <a:ext uri="{FF2B5EF4-FFF2-40B4-BE49-F238E27FC236}">
              <a16:creationId xmlns:a16="http://schemas.microsoft.com/office/drawing/2014/main" id="{479AC5AD-261C-4E1C-99D2-837B4776F6F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8" name="Line 75">
          <a:extLst>
            <a:ext uri="{FF2B5EF4-FFF2-40B4-BE49-F238E27FC236}">
              <a16:creationId xmlns:a16="http://schemas.microsoft.com/office/drawing/2014/main" id="{2AEB2A2C-7224-4D8D-8E6F-A852DA34A3E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499" name="Line 77">
          <a:extLst>
            <a:ext uri="{FF2B5EF4-FFF2-40B4-BE49-F238E27FC236}">
              <a16:creationId xmlns:a16="http://schemas.microsoft.com/office/drawing/2014/main" id="{64DBE769-F398-46FC-B290-517A128A1B8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0" name="Line 79">
          <a:extLst>
            <a:ext uri="{FF2B5EF4-FFF2-40B4-BE49-F238E27FC236}">
              <a16:creationId xmlns:a16="http://schemas.microsoft.com/office/drawing/2014/main" id="{1504CD53-25D2-499C-AD6C-01EC5D4E3C1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1" name="Line 81">
          <a:extLst>
            <a:ext uri="{FF2B5EF4-FFF2-40B4-BE49-F238E27FC236}">
              <a16:creationId xmlns:a16="http://schemas.microsoft.com/office/drawing/2014/main" id="{FC1FBAA6-8ACA-43BF-B4E9-5390E5EA9CC5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2" name="Line 83">
          <a:extLst>
            <a:ext uri="{FF2B5EF4-FFF2-40B4-BE49-F238E27FC236}">
              <a16:creationId xmlns:a16="http://schemas.microsoft.com/office/drawing/2014/main" id="{F0B6EC00-01B7-4DE1-9D6D-503CBF3AD0C8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3" name="Line 85">
          <a:extLst>
            <a:ext uri="{FF2B5EF4-FFF2-40B4-BE49-F238E27FC236}">
              <a16:creationId xmlns:a16="http://schemas.microsoft.com/office/drawing/2014/main" id="{2379946E-893B-423B-8F02-55D9E756E7E5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4" name="Line 87">
          <a:extLst>
            <a:ext uri="{FF2B5EF4-FFF2-40B4-BE49-F238E27FC236}">
              <a16:creationId xmlns:a16="http://schemas.microsoft.com/office/drawing/2014/main" id="{F6F327B2-776A-4CD1-BCCB-E29040DAFCA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5" name="Line 89">
          <a:extLst>
            <a:ext uri="{FF2B5EF4-FFF2-40B4-BE49-F238E27FC236}">
              <a16:creationId xmlns:a16="http://schemas.microsoft.com/office/drawing/2014/main" id="{574F22EA-94F4-4404-9236-A53D6312173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6" name="Line 745">
          <a:extLst>
            <a:ext uri="{FF2B5EF4-FFF2-40B4-BE49-F238E27FC236}">
              <a16:creationId xmlns:a16="http://schemas.microsoft.com/office/drawing/2014/main" id="{05BCB95F-42F0-44B4-962C-1531D174447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7" name="Line 747">
          <a:extLst>
            <a:ext uri="{FF2B5EF4-FFF2-40B4-BE49-F238E27FC236}">
              <a16:creationId xmlns:a16="http://schemas.microsoft.com/office/drawing/2014/main" id="{9387B43E-35E3-41F8-AB9B-D9BFB151E4BC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8" name="Line 749">
          <a:extLst>
            <a:ext uri="{FF2B5EF4-FFF2-40B4-BE49-F238E27FC236}">
              <a16:creationId xmlns:a16="http://schemas.microsoft.com/office/drawing/2014/main" id="{7D141195-205A-45E2-8D12-5ADFABAA620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09" name="Line 751">
          <a:extLst>
            <a:ext uri="{FF2B5EF4-FFF2-40B4-BE49-F238E27FC236}">
              <a16:creationId xmlns:a16="http://schemas.microsoft.com/office/drawing/2014/main" id="{CBE552EE-F13A-4D24-BEF5-E8129100854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0" name="Line 753">
          <a:extLst>
            <a:ext uri="{FF2B5EF4-FFF2-40B4-BE49-F238E27FC236}">
              <a16:creationId xmlns:a16="http://schemas.microsoft.com/office/drawing/2014/main" id="{9FE3F04D-71E0-453A-BC06-159F6CF916F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1" name="Line 755">
          <a:extLst>
            <a:ext uri="{FF2B5EF4-FFF2-40B4-BE49-F238E27FC236}">
              <a16:creationId xmlns:a16="http://schemas.microsoft.com/office/drawing/2014/main" id="{BFA36F7A-135D-4F84-A1DF-DF86D91353F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2" name="Line 757">
          <a:extLst>
            <a:ext uri="{FF2B5EF4-FFF2-40B4-BE49-F238E27FC236}">
              <a16:creationId xmlns:a16="http://schemas.microsoft.com/office/drawing/2014/main" id="{A633D808-F079-4BCF-9952-0642AE68F7F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3" name="Line 759">
          <a:extLst>
            <a:ext uri="{FF2B5EF4-FFF2-40B4-BE49-F238E27FC236}">
              <a16:creationId xmlns:a16="http://schemas.microsoft.com/office/drawing/2014/main" id="{D3EAF48E-8290-403E-8EA0-5C9C803BFD90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4" name="Line 761">
          <a:extLst>
            <a:ext uri="{FF2B5EF4-FFF2-40B4-BE49-F238E27FC236}">
              <a16:creationId xmlns:a16="http://schemas.microsoft.com/office/drawing/2014/main" id="{F505DC47-8D88-448D-8E2B-BE7C83FB2719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5" name="Line 763">
          <a:extLst>
            <a:ext uri="{FF2B5EF4-FFF2-40B4-BE49-F238E27FC236}">
              <a16:creationId xmlns:a16="http://schemas.microsoft.com/office/drawing/2014/main" id="{7FC530AB-F2A1-47E5-A3A2-1BFEF9EBE45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6" name="Line 765">
          <a:extLst>
            <a:ext uri="{FF2B5EF4-FFF2-40B4-BE49-F238E27FC236}">
              <a16:creationId xmlns:a16="http://schemas.microsoft.com/office/drawing/2014/main" id="{D07D8898-207B-4FCD-BAB6-5DF95A5881BC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7" name="Line 767">
          <a:extLst>
            <a:ext uri="{FF2B5EF4-FFF2-40B4-BE49-F238E27FC236}">
              <a16:creationId xmlns:a16="http://schemas.microsoft.com/office/drawing/2014/main" id="{D91E596B-A319-445D-B402-52B414D1BCF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8" name="Line 769">
          <a:extLst>
            <a:ext uri="{FF2B5EF4-FFF2-40B4-BE49-F238E27FC236}">
              <a16:creationId xmlns:a16="http://schemas.microsoft.com/office/drawing/2014/main" id="{98CBC0E4-54A7-43CF-BFEE-2C1C852E507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19" name="Line 771">
          <a:extLst>
            <a:ext uri="{FF2B5EF4-FFF2-40B4-BE49-F238E27FC236}">
              <a16:creationId xmlns:a16="http://schemas.microsoft.com/office/drawing/2014/main" id="{3FBEDFAC-1ACD-41C6-8557-DD20FEB0EFB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0" name="Line 773">
          <a:extLst>
            <a:ext uri="{FF2B5EF4-FFF2-40B4-BE49-F238E27FC236}">
              <a16:creationId xmlns:a16="http://schemas.microsoft.com/office/drawing/2014/main" id="{1B6DBA0C-33B6-4932-BB4D-12F157B0AE2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1" name="Line 775">
          <a:extLst>
            <a:ext uri="{FF2B5EF4-FFF2-40B4-BE49-F238E27FC236}">
              <a16:creationId xmlns:a16="http://schemas.microsoft.com/office/drawing/2014/main" id="{932D34CC-0FC0-4D93-9546-FF429A3BFFD5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2" name="Line 777">
          <a:extLst>
            <a:ext uri="{FF2B5EF4-FFF2-40B4-BE49-F238E27FC236}">
              <a16:creationId xmlns:a16="http://schemas.microsoft.com/office/drawing/2014/main" id="{C71D14A3-958D-4E4E-A62B-7721360A398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3" name="Line 779">
          <a:extLst>
            <a:ext uri="{FF2B5EF4-FFF2-40B4-BE49-F238E27FC236}">
              <a16:creationId xmlns:a16="http://schemas.microsoft.com/office/drawing/2014/main" id="{5DC1B21F-EE8B-4816-9DF2-457A1A78608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4" name="Line 781">
          <a:extLst>
            <a:ext uri="{FF2B5EF4-FFF2-40B4-BE49-F238E27FC236}">
              <a16:creationId xmlns:a16="http://schemas.microsoft.com/office/drawing/2014/main" id="{F7831F90-0C6F-428A-90FC-04ED402F0A9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5" name="Line 783">
          <a:extLst>
            <a:ext uri="{FF2B5EF4-FFF2-40B4-BE49-F238E27FC236}">
              <a16:creationId xmlns:a16="http://schemas.microsoft.com/office/drawing/2014/main" id="{0FF1EFFE-C9BF-47AA-BD73-DD13DAC22198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6" name="Line 785">
          <a:extLst>
            <a:ext uri="{FF2B5EF4-FFF2-40B4-BE49-F238E27FC236}">
              <a16:creationId xmlns:a16="http://schemas.microsoft.com/office/drawing/2014/main" id="{D0424AF0-6CDF-49C2-AC6C-34F63E83DE2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7" name="Line 787">
          <a:extLst>
            <a:ext uri="{FF2B5EF4-FFF2-40B4-BE49-F238E27FC236}">
              <a16:creationId xmlns:a16="http://schemas.microsoft.com/office/drawing/2014/main" id="{932489C5-0326-4116-B5A3-950B37E7899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8" name="Line 789">
          <a:extLst>
            <a:ext uri="{FF2B5EF4-FFF2-40B4-BE49-F238E27FC236}">
              <a16:creationId xmlns:a16="http://schemas.microsoft.com/office/drawing/2014/main" id="{0167D0EB-DAD6-4729-A19F-18D429912B8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529" name="Line 791">
          <a:extLst>
            <a:ext uri="{FF2B5EF4-FFF2-40B4-BE49-F238E27FC236}">
              <a16:creationId xmlns:a16="http://schemas.microsoft.com/office/drawing/2014/main" id="{B2A668D5-9535-4976-A738-A2C713132BC2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0" name="Line 43">
          <a:extLst>
            <a:ext uri="{FF2B5EF4-FFF2-40B4-BE49-F238E27FC236}">
              <a16:creationId xmlns:a16="http://schemas.microsoft.com/office/drawing/2014/main" id="{ED815F8F-EC3A-442B-9964-AE26AC0409BC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1" name="Line 45">
          <a:extLst>
            <a:ext uri="{FF2B5EF4-FFF2-40B4-BE49-F238E27FC236}">
              <a16:creationId xmlns:a16="http://schemas.microsoft.com/office/drawing/2014/main" id="{2201C190-2518-4242-B485-2F08CCE10AB7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2" name="Line 47">
          <a:extLst>
            <a:ext uri="{FF2B5EF4-FFF2-40B4-BE49-F238E27FC236}">
              <a16:creationId xmlns:a16="http://schemas.microsoft.com/office/drawing/2014/main" id="{56D5C8C1-9A4E-46D4-A97A-9E9BCA928E9F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3" name="Line 49">
          <a:extLst>
            <a:ext uri="{FF2B5EF4-FFF2-40B4-BE49-F238E27FC236}">
              <a16:creationId xmlns:a16="http://schemas.microsoft.com/office/drawing/2014/main" id="{7BEE50F4-A6A0-4B3A-A4B1-E5F668B4733C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4" name="Line 51">
          <a:extLst>
            <a:ext uri="{FF2B5EF4-FFF2-40B4-BE49-F238E27FC236}">
              <a16:creationId xmlns:a16="http://schemas.microsoft.com/office/drawing/2014/main" id="{861E1D9F-5314-4B75-8156-D888259BCD62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5" name="Line 53">
          <a:extLst>
            <a:ext uri="{FF2B5EF4-FFF2-40B4-BE49-F238E27FC236}">
              <a16:creationId xmlns:a16="http://schemas.microsoft.com/office/drawing/2014/main" id="{7CD41553-D67B-437E-BFFE-6F281673C211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6" name="Line 55">
          <a:extLst>
            <a:ext uri="{FF2B5EF4-FFF2-40B4-BE49-F238E27FC236}">
              <a16:creationId xmlns:a16="http://schemas.microsoft.com/office/drawing/2014/main" id="{578C0460-DC1D-48FC-BBD1-58AD954DA7D8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7" name="Line 57">
          <a:extLst>
            <a:ext uri="{FF2B5EF4-FFF2-40B4-BE49-F238E27FC236}">
              <a16:creationId xmlns:a16="http://schemas.microsoft.com/office/drawing/2014/main" id="{C3343962-C921-44D0-9E08-E57AA85A6F53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8" name="Line 59">
          <a:extLst>
            <a:ext uri="{FF2B5EF4-FFF2-40B4-BE49-F238E27FC236}">
              <a16:creationId xmlns:a16="http://schemas.microsoft.com/office/drawing/2014/main" id="{8B2658BF-AE5F-4FC5-A638-4556F4206C0A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39" name="Line 61">
          <a:extLst>
            <a:ext uri="{FF2B5EF4-FFF2-40B4-BE49-F238E27FC236}">
              <a16:creationId xmlns:a16="http://schemas.microsoft.com/office/drawing/2014/main" id="{6DA6372E-ACE1-427C-BD34-2A16981395A5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0" name="Line 63">
          <a:extLst>
            <a:ext uri="{FF2B5EF4-FFF2-40B4-BE49-F238E27FC236}">
              <a16:creationId xmlns:a16="http://schemas.microsoft.com/office/drawing/2014/main" id="{BD8EAC51-5F28-4CCB-8056-F089E8CFB3E3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1" name="Line 65">
          <a:extLst>
            <a:ext uri="{FF2B5EF4-FFF2-40B4-BE49-F238E27FC236}">
              <a16:creationId xmlns:a16="http://schemas.microsoft.com/office/drawing/2014/main" id="{8B1D2886-3183-4565-A900-F425C051CAF1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2" name="Line 67">
          <a:extLst>
            <a:ext uri="{FF2B5EF4-FFF2-40B4-BE49-F238E27FC236}">
              <a16:creationId xmlns:a16="http://schemas.microsoft.com/office/drawing/2014/main" id="{7CC91218-6BB2-4258-A4C7-EAB4698D933A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3" name="Line 69">
          <a:extLst>
            <a:ext uri="{FF2B5EF4-FFF2-40B4-BE49-F238E27FC236}">
              <a16:creationId xmlns:a16="http://schemas.microsoft.com/office/drawing/2014/main" id="{362E5322-E10E-405B-9064-3C7C70265827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4" name="Line 71">
          <a:extLst>
            <a:ext uri="{FF2B5EF4-FFF2-40B4-BE49-F238E27FC236}">
              <a16:creationId xmlns:a16="http://schemas.microsoft.com/office/drawing/2014/main" id="{8E24C747-89D6-4072-8F79-903C9DA3DFED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5" name="Line 73">
          <a:extLst>
            <a:ext uri="{FF2B5EF4-FFF2-40B4-BE49-F238E27FC236}">
              <a16:creationId xmlns:a16="http://schemas.microsoft.com/office/drawing/2014/main" id="{62D56C37-0ED3-4339-A2B2-31547B7447B4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6" name="Line 75">
          <a:extLst>
            <a:ext uri="{FF2B5EF4-FFF2-40B4-BE49-F238E27FC236}">
              <a16:creationId xmlns:a16="http://schemas.microsoft.com/office/drawing/2014/main" id="{A96E2956-78C3-4922-8F1E-CAAA20389C46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7" name="Line 77">
          <a:extLst>
            <a:ext uri="{FF2B5EF4-FFF2-40B4-BE49-F238E27FC236}">
              <a16:creationId xmlns:a16="http://schemas.microsoft.com/office/drawing/2014/main" id="{759C9C00-7059-4519-BDBD-13D515E8F16F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8" name="Line 79">
          <a:extLst>
            <a:ext uri="{FF2B5EF4-FFF2-40B4-BE49-F238E27FC236}">
              <a16:creationId xmlns:a16="http://schemas.microsoft.com/office/drawing/2014/main" id="{79EEF43E-EB0C-4029-AEC3-7027577B24E3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49" name="Line 81">
          <a:extLst>
            <a:ext uri="{FF2B5EF4-FFF2-40B4-BE49-F238E27FC236}">
              <a16:creationId xmlns:a16="http://schemas.microsoft.com/office/drawing/2014/main" id="{3A30509A-BB22-47A8-8179-4AB7E37D3D5B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0" name="Line 83">
          <a:extLst>
            <a:ext uri="{FF2B5EF4-FFF2-40B4-BE49-F238E27FC236}">
              <a16:creationId xmlns:a16="http://schemas.microsoft.com/office/drawing/2014/main" id="{A0B9F164-B5DA-49B4-862B-2074B0FAA891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1" name="Line 85">
          <a:extLst>
            <a:ext uri="{FF2B5EF4-FFF2-40B4-BE49-F238E27FC236}">
              <a16:creationId xmlns:a16="http://schemas.microsoft.com/office/drawing/2014/main" id="{11F37B7E-46B4-477A-9CBE-AB7D608ADC64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2" name="Line 87">
          <a:extLst>
            <a:ext uri="{FF2B5EF4-FFF2-40B4-BE49-F238E27FC236}">
              <a16:creationId xmlns:a16="http://schemas.microsoft.com/office/drawing/2014/main" id="{7BDADEC5-F900-4118-9E01-1C9C15BDBEB8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3" name="Line 89">
          <a:extLst>
            <a:ext uri="{FF2B5EF4-FFF2-40B4-BE49-F238E27FC236}">
              <a16:creationId xmlns:a16="http://schemas.microsoft.com/office/drawing/2014/main" id="{C0923ECA-BF0C-4AAF-929A-0C66C8569A9F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4" name="Line 745">
          <a:extLst>
            <a:ext uri="{FF2B5EF4-FFF2-40B4-BE49-F238E27FC236}">
              <a16:creationId xmlns:a16="http://schemas.microsoft.com/office/drawing/2014/main" id="{C0B16E30-E790-4CBA-8764-690C30F8D289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5" name="Line 747">
          <a:extLst>
            <a:ext uri="{FF2B5EF4-FFF2-40B4-BE49-F238E27FC236}">
              <a16:creationId xmlns:a16="http://schemas.microsoft.com/office/drawing/2014/main" id="{827EA469-C508-423C-AC52-BBDEFA2D8E83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6" name="Line 749">
          <a:extLst>
            <a:ext uri="{FF2B5EF4-FFF2-40B4-BE49-F238E27FC236}">
              <a16:creationId xmlns:a16="http://schemas.microsoft.com/office/drawing/2014/main" id="{15A3B004-1835-4A4B-A84E-A7C555CF848E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7" name="Line 751">
          <a:extLst>
            <a:ext uri="{FF2B5EF4-FFF2-40B4-BE49-F238E27FC236}">
              <a16:creationId xmlns:a16="http://schemas.microsoft.com/office/drawing/2014/main" id="{CACE7E95-DCB9-4C4E-BC3B-B6A01DCEC7BE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8" name="Line 753">
          <a:extLst>
            <a:ext uri="{FF2B5EF4-FFF2-40B4-BE49-F238E27FC236}">
              <a16:creationId xmlns:a16="http://schemas.microsoft.com/office/drawing/2014/main" id="{11B38588-3822-4220-A79A-CF1292FCB5EE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59" name="Line 755">
          <a:extLst>
            <a:ext uri="{FF2B5EF4-FFF2-40B4-BE49-F238E27FC236}">
              <a16:creationId xmlns:a16="http://schemas.microsoft.com/office/drawing/2014/main" id="{7C91E657-BADF-4043-A1F2-C6A452E7DE1A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0" name="Line 757">
          <a:extLst>
            <a:ext uri="{FF2B5EF4-FFF2-40B4-BE49-F238E27FC236}">
              <a16:creationId xmlns:a16="http://schemas.microsoft.com/office/drawing/2014/main" id="{B540AA6F-01EB-484E-9EF6-825A6AC0337B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1" name="Line 759">
          <a:extLst>
            <a:ext uri="{FF2B5EF4-FFF2-40B4-BE49-F238E27FC236}">
              <a16:creationId xmlns:a16="http://schemas.microsoft.com/office/drawing/2014/main" id="{901A4D40-B716-4E8A-BCA4-99F8ED667118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2" name="Line 761">
          <a:extLst>
            <a:ext uri="{FF2B5EF4-FFF2-40B4-BE49-F238E27FC236}">
              <a16:creationId xmlns:a16="http://schemas.microsoft.com/office/drawing/2014/main" id="{558B727D-F0EF-4CE1-96B5-7B4CC82C4B62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3" name="Line 763">
          <a:extLst>
            <a:ext uri="{FF2B5EF4-FFF2-40B4-BE49-F238E27FC236}">
              <a16:creationId xmlns:a16="http://schemas.microsoft.com/office/drawing/2014/main" id="{1B03C7D4-BE36-4CDF-9B98-8BB5F190B357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4" name="Line 765">
          <a:extLst>
            <a:ext uri="{FF2B5EF4-FFF2-40B4-BE49-F238E27FC236}">
              <a16:creationId xmlns:a16="http://schemas.microsoft.com/office/drawing/2014/main" id="{C221826E-B090-43BB-9342-87D4F1C72EB9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5" name="Line 767">
          <a:extLst>
            <a:ext uri="{FF2B5EF4-FFF2-40B4-BE49-F238E27FC236}">
              <a16:creationId xmlns:a16="http://schemas.microsoft.com/office/drawing/2014/main" id="{9AE31441-F115-4BA6-8E1C-00093C153172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6" name="Line 769">
          <a:extLst>
            <a:ext uri="{FF2B5EF4-FFF2-40B4-BE49-F238E27FC236}">
              <a16:creationId xmlns:a16="http://schemas.microsoft.com/office/drawing/2014/main" id="{CB88DC61-492E-43C3-8860-54FF42F6763E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7" name="Line 771">
          <a:extLst>
            <a:ext uri="{FF2B5EF4-FFF2-40B4-BE49-F238E27FC236}">
              <a16:creationId xmlns:a16="http://schemas.microsoft.com/office/drawing/2014/main" id="{B5516BFC-B1BA-413B-9308-9A7062E4E2D9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8" name="Line 773">
          <a:extLst>
            <a:ext uri="{FF2B5EF4-FFF2-40B4-BE49-F238E27FC236}">
              <a16:creationId xmlns:a16="http://schemas.microsoft.com/office/drawing/2014/main" id="{81E0358A-953B-4F93-ABB5-19AB1241D9B9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69" name="Line 775">
          <a:extLst>
            <a:ext uri="{FF2B5EF4-FFF2-40B4-BE49-F238E27FC236}">
              <a16:creationId xmlns:a16="http://schemas.microsoft.com/office/drawing/2014/main" id="{FEC70DFE-32CC-461E-A838-8DAFAF1C6815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0" name="Line 777">
          <a:extLst>
            <a:ext uri="{FF2B5EF4-FFF2-40B4-BE49-F238E27FC236}">
              <a16:creationId xmlns:a16="http://schemas.microsoft.com/office/drawing/2014/main" id="{164B7F4D-6C4F-45D5-BB3F-0241ADF338C4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1" name="Line 779">
          <a:extLst>
            <a:ext uri="{FF2B5EF4-FFF2-40B4-BE49-F238E27FC236}">
              <a16:creationId xmlns:a16="http://schemas.microsoft.com/office/drawing/2014/main" id="{FCDA507F-4AE8-41EB-A0C8-18BC996C1FDE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2" name="Line 781">
          <a:extLst>
            <a:ext uri="{FF2B5EF4-FFF2-40B4-BE49-F238E27FC236}">
              <a16:creationId xmlns:a16="http://schemas.microsoft.com/office/drawing/2014/main" id="{84239435-0ACA-4E9D-A154-F977F87341C7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3" name="Line 783">
          <a:extLst>
            <a:ext uri="{FF2B5EF4-FFF2-40B4-BE49-F238E27FC236}">
              <a16:creationId xmlns:a16="http://schemas.microsoft.com/office/drawing/2014/main" id="{1426C36D-3FF4-40DC-9BB3-827C51EED671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4" name="Line 785">
          <a:extLst>
            <a:ext uri="{FF2B5EF4-FFF2-40B4-BE49-F238E27FC236}">
              <a16:creationId xmlns:a16="http://schemas.microsoft.com/office/drawing/2014/main" id="{C72FBBEC-3BCA-4464-A60B-288E325F24B5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5" name="Line 787">
          <a:extLst>
            <a:ext uri="{FF2B5EF4-FFF2-40B4-BE49-F238E27FC236}">
              <a16:creationId xmlns:a16="http://schemas.microsoft.com/office/drawing/2014/main" id="{C1B369C1-B5D3-499D-99CB-891ED17AA6B7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6" name="Line 789">
          <a:extLst>
            <a:ext uri="{FF2B5EF4-FFF2-40B4-BE49-F238E27FC236}">
              <a16:creationId xmlns:a16="http://schemas.microsoft.com/office/drawing/2014/main" id="{A18EBDED-12B3-4E3A-BB1F-9EEFC7F3B8EF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455</xdr:row>
      <xdr:rowOff>0</xdr:rowOff>
    </xdr:from>
    <xdr:to>
      <xdr:col>14</xdr:col>
      <xdr:colOff>0</xdr:colOff>
      <xdr:row>455</xdr:row>
      <xdr:rowOff>0</xdr:rowOff>
    </xdr:to>
    <xdr:sp macro="" textlink="">
      <xdr:nvSpPr>
        <xdr:cNvPr id="577" name="Line 791">
          <a:extLst>
            <a:ext uri="{FF2B5EF4-FFF2-40B4-BE49-F238E27FC236}">
              <a16:creationId xmlns:a16="http://schemas.microsoft.com/office/drawing/2014/main" id="{2E065CB2-B26D-4A63-85F6-D86FAC708B9B}"/>
            </a:ext>
          </a:extLst>
        </xdr:cNvPr>
        <xdr:cNvSpPr>
          <a:spLocks noChangeShapeType="1"/>
        </xdr:cNvSpPr>
      </xdr:nvSpPr>
      <xdr:spPr bwMode="auto">
        <a:xfrm>
          <a:off x="4400550" y="78009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78" name="Line 43">
          <a:extLst>
            <a:ext uri="{FF2B5EF4-FFF2-40B4-BE49-F238E27FC236}">
              <a16:creationId xmlns:a16="http://schemas.microsoft.com/office/drawing/2014/main" id="{68BD50AB-E6FE-4A02-8E9E-C695428B8D0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79" name="Line 45">
          <a:extLst>
            <a:ext uri="{FF2B5EF4-FFF2-40B4-BE49-F238E27FC236}">
              <a16:creationId xmlns:a16="http://schemas.microsoft.com/office/drawing/2014/main" id="{D4C1B066-646B-4E2B-878A-CAF44217DCA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0" name="Line 47">
          <a:extLst>
            <a:ext uri="{FF2B5EF4-FFF2-40B4-BE49-F238E27FC236}">
              <a16:creationId xmlns:a16="http://schemas.microsoft.com/office/drawing/2014/main" id="{F9389C3D-3DBD-41F9-99E3-9CBFF796690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1" name="Line 49">
          <a:extLst>
            <a:ext uri="{FF2B5EF4-FFF2-40B4-BE49-F238E27FC236}">
              <a16:creationId xmlns:a16="http://schemas.microsoft.com/office/drawing/2014/main" id="{404A55C9-D303-453B-AE01-88707277F36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2" name="Line 51">
          <a:extLst>
            <a:ext uri="{FF2B5EF4-FFF2-40B4-BE49-F238E27FC236}">
              <a16:creationId xmlns:a16="http://schemas.microsoft.com/office/drawing/2014/main" id="{61CE353D-B6F2-48B3-8F54-9C65A5AFBD3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3" name="Line 53">
          <a:extLst>
            <a:ext uri="{FF2B5EF4-FFF2-40B4-BE49-F238E27FC236}">
              <a16:creationId xmlns:a16="http://schemas.microsoft.com/office/drawing/2014/main" id="{568FFEC4-AE19-4621-A960-5C1C63A4F79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4" name="Line 55">
          <a:extLst>
            <a:ext uri="{FF2B5EF4-FFF2-40B4-BE49-F238E27FC236}">
              <a16:creationId xmlns:a16="http://schemas.microsoft.com/office/drawing/2014/main" id="{EA366857-5106-4B07-9B16-B80D55AFCD5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5" name="Line 57">
          <a:extLst>
            <a:ext uri="{FF2B5EF4-FFF2-40B4-BE49-F238E27FC236}">
              <a16:creationId xmlns:a16="http://schemas.microsoft.com/office/drawing/2014/main" id="{D4CAC394-1A52-4AEF-8211-A9861B0D7555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6" name="Line 59">
          <a:extLst>
            <a:ext uri="{FF2B5EF4-FFF2-40B4-BE49-F238E27FC236}">
              <a16:creationId xmlns:a16="http://schemas.microsoft.com/office/drawing/2014/main" id="{F5034A76-81CC-4824-A16D-862D9541117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7" name="Line 61">
          <a:extLst>
            <a:ext uri="{FF2B5EF4-FFF2-40B4-BE49-F238E27FC236}">
              <a16:creationId xmlns:a16="http://schemas.microsoft.com/office/drawing/2014/main" id="{63923D9C-F7F2-4C8C-9B00-7FCAE4EF020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8" name="Line 63">
          <a:extLst>
            <a:ext uri="{FF2B5EF4-FFF2-40B4-BE49-F238E27FC236}">
              <a16:creationId xmlns:a16="http://schemas.microsoft.com/office/drawing/2014/main" id="{88654DB8-0A9D-4A3F-8A1A-5E0C1F86F69C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89" name="Line 65">
          <a:extLst>
            <a:ext uri="{FF2B5EF4-FFF2-40B4-BE49-F238E27FC236}">
              <a16:creationId xmlns:a16="http://schemas.microsoft.com/office/drawing/2014/main" id="{02A76C8A-70B9-46AC-A13A-92FEDE2778A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0" name="Line 67">
          <a:extLst>
            <a:ext uri="{FF2B5EF4-FFF2-40B4-BE49-F238E27FC236}">
              <a16:creationId xmlns:a16="http://schemas.microsoft.com/office/drawing/2014/main" id="{8B464B3F-FC2B-498A-929E-4B52112B20F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1" name="Line 69">
          <a:extLst>
            <a:ext uri="{FF2B5EF4-FFF2-40B4-BE49-F238E27FC236}">
              <a16:creationId xmlns:a16="http://schemas.microsoft.com/office/drawing/2014/main" id="{CB8B1F3C-766D-4311-AE69-EB84DFE43EC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2" name="Line 71">
          <a:extLst>
            <a:ext uri="{FF2B5EF4-FFF2-40B4-BE49-F238E27FC236}">
              <a16:creationId xmlns:a16="http://schemas.microsoft.com/office/drawing/2014/main" id="{DEE7F765-2878-44C6-AD6F-C70D75D451FA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3" name="Line 73">
          <a:extLst>
            <a:ext uri="{FF2B5EF4-FFF2-40B4-BE49-F238E27FC236}">
              <a16:creationId xmlns:a16="http://schemas.microsoft.com/office/drawing/2014/main" id="{E3FDA2DC-87DC-4302-8C40-30A44D46556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4" name="Line 75">
          <a:extLst>
            <a:ext uri="{FF2B5EF4-FFF2-40B4-BE49-F238E27FC236}">
              <a16:creationId xmlns:a16="http://schemas.microsoft.com/office/drawing/2014/main" id="{D392CF8C-F27C-421B-8277-F2FC3F14B89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5" name="Line 77">
          <a:extLst>
            <a:ext uri="{FF2B5EF4-FFF2-40B4-BE49-F238E27FC236}">
              <a16:creationId xmlns:a16="http://schemas.microsoft.com/office/drawing/2014/main" id="{72D30DD5-8C39-4C55-872A-711B0FC14707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6" name="Line 79">
          <a:extLst>
            <a:ext uri="{FF2B5EF4-FFF2-40B4-BE49-F238E27FC236}">
              <a16:creationId xmlns:a16="http://schemas.microsoft.com/office/drawing/2014/main" id="{D4E7765F-42AC-4B5B-BE3D-B5F80AC66C8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7" name="Line 81">
          <a:extLst>
            <a:ext uri="{FF2B5EF4-FFF2-40B4-BE49-F238E27FC236}">
              <a16:creationId xmlns:a16="http://schemas.microsoft.com/office/drawing/2014/main" id="{4088760E-380C-4E33-97AA-EEC725F4D0B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8" name="Line 83">
          <a:extLst>
            <a:ext uri="{FF2B5EF4-FFF2-40B4-BE49-F238E27FC236}">
              <a16:creationId xmlns:a16="http://schemas.microsoft.com/office/drawing/2014/main" id="{580164E3-DCD6-4C78-ADD3-99BD1F97B22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599" name="Line 85">
          <a:extLst>
            <a:ext uri="{FF2B5EF4-FFF2-40B4-BE49-F238E27FC236}">
              <a16:creationId xmlns:a16="http://schemas.microsoft.com/office/drawing/2014/main" id="{0837D7BD-C8FD-4812-96F3-D1D5CD1E707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0" name="Line 87">
          <a:extLst>
            <a:ext uri="{FF2B5EF4-FFF2-40B4-BE49-F238E27FC236}">
              <a16:creationId xmlns:a16="http://schemas.microsoft.com/office/drawing/2014/main" id="{8BB99B26-42D1-41B3-B8AA-808BA07D28F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1" name="Line 89">
          <a:extLst>
            <a:ext uri="{FF2B5EF4-FFF2-40B4-BE49-F238E27FC236}">
              <a16:creationId xmlns:a16="http://schemas.microsoft.com/office/drawing/2014/main" id="{86AC0170-1026-4816-9A5A-7C1166E9F6A5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2" name="Line 745">
          <a:extLst>
            <a:ext uri="{FF2B5EF4-FFF2-40B4-BE49-F238E27FC236}">
              <a16:creationId xmlns:a16="http://schemas.microsoft.com/office/drawing/2014/main" id="{4B026545-A80B-4235-8012-E62AFCE2658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3" name="Line 747">
          <a:extLst>
            <a:ext uri="{FF2B5EF4-FFF2-40B4-BE49-F238E27FC236}">
              <a16:creationId xmlns:a16="http://schemas.microsoft.com/office/drawing/2014/main" id="{3A421D0C-5513-43FE-AD28-46CB46FA541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4" name="Line 749">
          <a:extLst>
            <a:ext uri="{FF2B5EF4-FFF2-40B4-BE49-F238E27FC236}">
              <a16:creationId xmlns:a16="http://schemas.microsoft.com/office/drawing/2014/main" id="{4DD33038-9CBA-467C-8404-DFE1622DE46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5" name="Line 751">
          <a:extLst>
            <a:ext uri="{FF2B5EF4-FFF2-40B4-BE49-F238E27FC236}">
              <a16:creationId xmlns:a16="http://schemas.microsoft.com/office/drawing/2014/main" id="{EEC3D93C-FBDC-4821-8664-04F43CD1902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6" name="Line 753">
          <a:extLst>
            <a:ext uri="{FF2B5EF4-FFF2-40B4-BE49-F238E27FC236}">
              <a16:creationId xmlns:a16="http://schemas.microsoft.com/office/drawing/2014/main" id="{FF340092-85BB-48B9-B74B-05FB8598CB55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7" name="Line 755">
          <a:extLst>
            <a:ext uri="{FF2B5EF4-FFF2-40B4-BE49-F238E27FC236}">
              <a16:creationId xmlns:a16="http://schemas.microsoft.com/office/drawing/2014/main" id="{7A742B0A-57A3-4AE4-A744-396CA5A27369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8" name="Line 757">
          <a:extLst>
            <a:ext uri="{FF2B5EF4-FFF2-40B4-BE49-F238E27FC236}">
              <a16:creationId xmlns:a16="http://schemas.microsoft.com/office/drawing/2014/main" id="{E7AED2C9-626C-4499-953F-FB3EED074BAD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09" name="Line 759">
          <a:extLst>
            <a:ext uri="{FF2B5EF4-FFF2-40B4-BE49-F238E27FC236}">
              <a16:creationId xmlns:a16="http://schemas.microsoft.com/office/drawing/2014/main" id="{43ACC3E9-6F56-46F6-BADA-DD10063BC651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0" name="Line 761">
          <a:extLst>
            <a:ext uri="{FF2B5EF4-FFF2-40B4-BE49-F238E27FC236}">
              <a16:creationId xmlns:a16="http://schemas.microsoft.com/office/drawing/2014/main" id="{097901F7-D165-4724-BD95-681A04555EE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1" name="Line 763">
          <a:extLst>
            <a:ext uri="{FF2B5EF4-FFF2-40B4-BE49-F238E27FC236}">
              <a16:creationId xmlns:a16="http://schemas.microsoft.com/office/drawing/2014/main" id="{B55DBC74-F10F-4E59-9793-E78FCEB9A6E5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2" name="Line 765">
          <a:extLst>
            <a:ext uri="{FF2B5EF4-FFF2-40B4-BE49-F238E27FC236}">
              <a16:creationId xmlns:a16="http://schemas.microsoft.com/office/drawing/2014/main" id="{C334C17B-4DBB-4B9F-BE5B-1040B93BD17C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3" name="Line 767">
          <a:extLst>
            <a:ext uri="{FF2B5EF4-FFF2-40B4-BE49-F238E27FC236}">
              <a16:creationId xmlns:a16="http://schemas.microsoft.com/office/drawing/2014/main" id="{5CA0583D-B2AE-470B-8E98-D4393DBE923E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4" name="Line 769">
          <a:extLst>
            <a:ext uri="{FF2B5EF4-FFF2-40B4-BE49-F238E27FC236}">
              <a16:creationId xmlns:a16="http://schemas.microsoft.com/office/drawing/2014/main" id="{68656879-3E35-4A78-BC9C-6F744DBF6E18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5" name="Line 771">
          <a:extLst>
            <a:ext uri="{FF2B5EF4-FFF2-40B4-BE49-F238E27FC236}">
              <a16:creationId xmlns:a16="http://schemas.microsoft.com/office/drawing/2014/main" id="{C7A2B5FD-D8D0-4757-9C70-A6CBA940F9E0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6" name="Line 773">
          <a:extLst>
            <a:ext uri="{FF2B5EF4-FFF2-40B4-BE49-F238E27FC236}">
              <a16:creationId xmlns:a16="http://schemas.microsoft.com/office/drawing/2014/main" id="{06398349-EB77-4AC9-A4E1-D5B701D01CD2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7" name="Line 775">
          <a:extLst>
            <a:ext uri="{FF2B5EF4-FFF2-40B4-BE49-F238E27FC236}">
              <a16:creationId xmlns:a16="http://schemas.microsoft.com/office/drawing/2014/main" id="{7C490842-B2DB-4CEE-866D-A1E2396BF76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8" name="Line 777">
          <a:extLst>
            <a:ext uri="{FF2B5EF4-FFF2-40B4-BE49-F238E27FC236}">
              <a16:creationId xmlns:a16="http://schemas.microsoft.com/office/drawing/2014/main" id="{9B3F935A-87D7-4220-AB6D-0002AC364016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19" name="Line 779">
          <a:extLst>
            <a:ext uri="{FF2B5EF4-FFF2-40B4-BE49-F238E27FC236}">
              <a16:creationId xmlns:a16="http://schemas.microsoft.com/office/drawing/2014/main" id="{D324D5D6-4323-4F8F-AF36-DF62BBE52EA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0" name="Line 781">
          <a:extLst>
            <a:ext uri="{FF2B5EF4-FFF2-40B4-BE49-F238E27FC236}">
              <a16:creationId xmlns:a16="http://schemas.microsoft.com/office/drawing/2014/main" id="{FC1FD12F-E4F6-4643-9FE2-37971295F7D1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1" name="Line 783">
          <a:extLst>
            <a:ext uri="{FF2B5EF4-FFF2-40B4-BE49-F238E27FC236}">
              <a16:creationId xmlns:a16="http://schemas.microsoft.com/office/drawing/2014/main" id="{8D88C0A1-858C-46AE-A853-786F29D6CC7A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2" name="Line 785">
          <a:extLst>
            <a:ext uri="{FF2B5EF4-FFF2-40B4-BE49-F238E27FC236}">
              <a16:creationId xmlns:a16="http://schemas.microsoft.com/office/drawing/2014/main" id="{2CAD4E4E-8DD7-4EA9-9654-4BA1627CBB1C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3" name="Line 787">
          <a:extLst>
            <a:ext uri="{FF2B5EF4-FFF2-40B4-BE49-F238E27FC236}">
              <a16:creationId xmlns:a16="http://schemas.microsoft.com/office/drawing/2014/main" id="{7A7D70E9-ECDF-40BB-8BC8-DD7C486CC404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4" name="Line 789">
          <a:extLst>
            <a:ext uri="{FF2B5EF4-FFF2-40B4-BE49-F238E27FC236}">
              <a16:creationId xmlns:a16="http://schemas.microsoft.com/office/drawing/2014/main" id="{642460AC-1886-4DB9-82C6-F7E217F012A3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</xdr:row>
      <xdr:rowOff>0</xdr:rowOff>
    </xdr:from>
    <xdr:to>
      <xdr:col>14</xdr:col>
      <xdr:colOff>0</xdr:colOff>
      <xdr:row>37</xdr:row>
      <xdr:rowOff>0</xdr:rowOff>
    </xdr:to>
    <xdr:sp macro="" textlink="">
      <xdr:nvSpPr>
        <xdr:cNvPr id="625" name="Line 791">
          <a:extLst>
            <a:ext uri="{FF2B5EF4-FFF2-40B4-BE49-F238E27FC236}">
              <a16:creationId xmlns:a16="http://schemas.microsoft.com/office/drawing/2014/main" id="{8CF6D389-9095-4999-846F-2C9783A0D0AF}"/>
            </a:ext>
          </a:extLst>
        </xdr:cNvPr>
        <xdr:cNvSpPr>
          <a:spLocks noChangeShapeType="1"/>
        </xdr:cNvSpPr>
      </xdr:nvSpPr>
      <xdr:spPr bwMode="auto">
        <a:xfrm>
          <a:off x="4400550" y="6343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626" name="Line 41">
          <a:extLst>
            <a:ext uri="{FF2B5EF4-FFF2-40B4-BE49-F238E27FC236}">
              <a16:creationId xmlns:a16="http://schemas.microsoft.com/office/drawing/2014/main" id="{A22E57C5-214C-425F-B3D6-91F8128384D4}"/>
            </a:ext>
          </a:extLst>
        </xdr:cNvPr>
        <xdr:cNvSpPr>
          <a:spLocks noChangeShapeType="1"/>
        </xdr:cNvSpPr>
      </xdr:nvSpPr>
      <xdr:spPr bwMode="auto">
        <a:xfrm>
          <a:off x="440055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</xdr:row>
      <xdr:rowOff>104775</xdr:rowOff>
    </xdr:from>
    <xdr:to>
      <xdr:col>14</xdr:col>
      <xdr:colOff>0</xdr:colOff>
      <xdr:row>42</xdr:row>
      <xdr:rowOff>57150</xdr:rowOff>
    </xdr:to>
    <xdr:sp macro="" textlink="">
      <xdr:nvSpPr>
        <xdr:cNvPr id="627" name="Line 743">
          <a:extLst>
            <a:ext uri="{FF2B5EF4-FFF2-40B4-BE49-F238E27FC236}">
              <a16:creationId xmlns:a16="http://schemas.microsoft.com/office/drawing/2014/main" id="{87F36B58-6A3F-4EAF-A3BF-AF2525C47D00}"/>
            </a:ext>
          </a:extLst>
        </xdr:cNvPr>
        <xdr:cNvSpPr>
          <a:spLocks noChangeShapeType="1"/>
        </xdr:cNvSpPr>
      </xdr:nvSpPr>
      <xdr:spPr bwMode="auto">
        <a:xfrm>
          <a:off x="4400550" y="7134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28" name="Line 43">
          <a:extLst>
            <a:ext uri="{FF2B5EF4-FFF2-40B4-BE49-F238E27FC236}">
              <a16:creationId xmlns:a16="http://schemas.microsoft.com/office/drawing/2014/main" id="{F78CA2F7-964E-4B2E-B6AB-0E17D8BDCA6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29" name="Line 45">
          <a:extLst>
            <a:ext uri="{FF2B5EF4-FFF2-40B4-BE49-F238E27FC236}">
              <a16:creationId xmlns:a16="http://schemas.microsoft.com/office/drawing/2014/main" id="{9E84D41D-530E-4D5C-94CF-249D9FE9CC9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0" name="Line 47">
          <a:extLst>
            <a:ext uri="{FF2B5EF4-FFF2-40B4-BE49-F238E27FC236}">
              <a16:creationId xmlns:a16="http://schemas.microsoft.com/office/drawing/2014/main" id="{C4B9BE65-64DC-442E-8A96-4A966A5F8917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1" name="Line 49">
          <a:extLst>
            <a:ext uri="{FF2B5EF4-FFF2-40B4-BE49-F238E27FC236}">
              <a16:creationId xmlns:a16="http://schemas.microsoft.com/office/drawing/2014/main" id="{672250A6-6A4C-4F54-83EF-1D01A0C1060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2" name="Line 51">
          <a:extLst>
            <a:ext uri="{FF2B5EF4-FFF2-40B4-BE49-F238E27FC236}">
              <a16:creationId xmlns:a16="http://schemas.microsoft.com/office/drawing/2014/main" id="{98FCD8A8-206E-4723-8B31-4E88598270C8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3" name="Line 53">
          <a:extLst>
            <a:ext uri="{FF2B5EF4-FFF2-40B4-BE49-F238E27FC236}">
              <a16:creationId xmlns:a16="http://schemas.microsoft.com/office/drawing/2014/main" id="{BCFB97ED-6FBD-489C-B6DA-FC5AB91E3D38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4" name="Line 55">
          <a:extLst>
            <a:ext uri="{FF2B5EF4-FFF2-40B4-BE49-F238E27FC236}">
              <a16:creationId xmlns:a16="http://schemas.microsoft.com/office/drawing/2014/main" id="{4C40D8A1-7FDB-4F14-A44A-5337F11B004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5" name="Line 57">
          <a:extLst>
            <a:ext uri="{FF2B5EF4-FFF2-40B4-BE49-F238E27FC236}">
              <a16:creationId xmlns:a16="http://schemas.microsoft.com/office/drawing/2014/main" id="{5C863C1A-5189-4991-8227-F559E8FAFF1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6" name="Line 59">
          <a:extLst>
            <a:ext uri="{FF2B5EF4-FFF2-40B4-BE49-F238E27FC236}">
              <a16:creationId xmlns:a16="http://schemas.microsoft.com/office/drawing/2014/main" id="{673F8C58-8F88-4494-91C4-14449B42BE0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7" name="Line 61">
          <a:extLst>
            <a:ext uri="{FF2B5EF4-FFF2-40B4-BE49-F238E27FC236}">
              <a16:creationId xmlns:a16="http://schemas.microsoft.com/office/drawing/2014/main" id="{1769EAE3-C79A-484C-9720-95679A9C8A5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8" name="Line 63">
          <a:extLst>
            <a:ext uri="{FF2B5EF4-FFF2-40B4-BE49-F238E27FC236}">
              <a16:creationId xmlns:a16="http://schemas.microsoft.com/office/drawing/2014/main" id="{182CF6EB-9E37-4846-9E3F-4AA154C44D82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39" name="Line 65">
          <a:extLst>
            <a:ext uri="{FF2B5EF4-FFF2-40B4-BE49-F238E27FC236}">
              <a16:creationId xmlns:a16="http://schemas.microsoft.com/office/drawing/2014/main" id="{947EF341-298E-4E3F-9791-1F11FF279E39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0" name="Line 67">
          <a:extLst>
            <a:ext uri="{FF2B5EF4-FFF2-40B4-BE49-F238E27FC236}">
              <a16:creationId xmlns:a16="http://schemas.microsoft.com/office/drawing/2014/main" id="{8B97C9B7-18E4-41C9-9A83-573DCB8DF64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1" name="Line 69">
          <a:extLst>
            <a:ext uri="{FF2B5EF4-FFF2-40B4-BE49-F238E27FC236}">
              <a16:creationId xmlns:a16="http://schemas.microsoft.com/office/drawing/2014/main" id="{37FCA62F-A87A-4435-8671-9CAC180555F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2" name="Line 71">
          <a:extLst>
            <a:ext uri="{FF2B5EF4-FFF2-40B4-BE49-F238E27FC236}">
              <a16:creationId xmlns:a16="http://schemas.microsoft.com/office/drawing/2014/main" id="{9967E928-3F4B-4C15-AB8E-0BC5794B4E7A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3" name="Line 73">
          <a:extLst>
            <a:ext uri="{FF2B5EF4-FFF2-40B4-BE49-F238E27FC236}">
              <a16:creationId xmlns:a16="http://schemas.microsoft.com/office/drawing/2014/main" id="{7EF1E43A-EF02-4F2E-8FBA-E5BA2170F49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4" name="Line 75">
          <a:extLst>
            <a:ext uri="{FF2B5EF4-FFF2-40B4-BE49-F238E27FC236}">
              <a16:creationId xmlns:a16="http://schemas.microsoft.com/office/drawing/2014/main" id="{430AF89E-8B61-4569-AE8A-F6C18FAF5807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5" name="Line 77">
          <a:extLst>
            <a:ext uri="{FF2B5EF4-FFF2-40B4-BE49-F238E27FC236}">
              <a16:creationId xmlns:a16="http://schemas.microsoft.com/office/drawing/2014/main" id="{DAED53D9-6909-4CE1-9325-47BE5744974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6" name="Line 79">
          <a:extLst>
            <a:ext uri="{FF2B5EF4-FFF2-40B4-BE49-F238E27FC236}">
              <a16:creationId xmlns:a16="http://schemas.microsoft.com/office/drawing/2014/main" id="{05E0D3DC-FDC7-4ADF-9F1E-0217CF703F06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7" name="Line 81">
          <a:extLst>
            <a:ext uri="{FF2B5EF4-FFF2-40B4-BE49-F238E27FC236}">
              <a16:creationId xmlns:a16="http://schemas.microsoft.com/office/drawing/2014/main" id="{70147CD1-ED5C-4023-A2A0-777421D592FA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8" name="Line 83">
          <a:extLst>
            <a:ext uri="{FF2B5EF4-FFF2-40B4-BE49-F238E27FC236}">
              <a16:creationId xmlns:a16="http://schemas.microsoft.com/office/drawing/2014/main" id="{829CEA7A-0EEB-44A6-86D8-E34C48C5879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49" name="Line 85">
          <a:extLst>
            <a:ext uri="{FF2B5EF4-FFF2-40B4-BE49-F238E27FC236}">
              <a16:creationId xmlns:a16="http://schemas.microsoft.com/office/drawing/2014/main" id="{4EAA9FA2-4233-4981-9C7E-560FCD531BE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0" name="Line 87">
          <a:extLst>
            <a:ext uri="{FF2B5EF4-FFF2-40B4-BE49-F238E27FC236}">
              <a16:creationId xmlns:a16="http://schemas.microsoft.com/office/drawing/2014/main" id="{AC1A5A98-443A-4D7D-B9B0-438AD0040E5E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1" name="Line 89">
          <a:extLst>
            <a:ext uri="{FF2B5EF4-FFF2-40B4-BE49-F238E27FC236}">
              <a16:creationId xmlns:a16="http://schemas.microsoft.com/office/drawing/2014/main" id="{C6113986-EADA-4369-A13A-46B41D8B340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2" name="Line 745">
          <a:extLst>
            <a:ext uri="{FF2B5EF4-FFF2-40B4-BE49-F238E27FC236}">
              <a16:creationId xmlns:a16="http://schemas.microsoft.com/office/drawing/2014/main" id="{4ABE2182-BD92-4569-8FD6-6EAEC769E8B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3" name="Line 747">
          <a:extLst>
            <a:ext uri="{FF2B5EF4-FFF2-40B4-BE49-F238E27FC236}">
              <a16:creationId xmlns:a16="http://schemas.microsoft.com/office/drawing/2014/main" id="{4A40CA63-E4E0-40B9-8DDA-3CF7C9C875B9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4" name="Line 749">
          <a:extLst>
            <a:ext uri="{FF2B5EF4-FFF2-40B4-BE49-F238E27FC236}">
              <a16:creationId xmlns:a16="http://schemas.microsoft.com/office/drawing/2014/main" id="{FE83A826-7878-4249-A600-46CD39CF124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5" name="Line 751">
          <a:extLst>
            <a:ext uri="{FF2B5EF4-FFF2-40B4-BE49-F238E27FC236}">
              <a16:creationId xmlns:a16="http://schemas.microsoft.com/office/drawing/2014/main" id="{02A4D042-2363-4581-B11F-00D27FA872B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6" name="Line 753">
          <a:extLst>
            <a:ext uri="{FF2B5EF4-FFF2-40B4-BE49-F238E27FC236}">
              <a16:creationId xmlns:a16="http://schemas.microsoft.com/office/drawing/2014/main" id="{AC1714AF-8ED7-40A4-B6AC-A68AD6AB486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7" name="Line 755">
          <a:extLst>
            <a:ext uri="{FF2B5EF4-FFF2-40B4-BE49-F238E27FC236}">
              <a16:creationId xmlns:a16="http://schemas.microsoft.com/office/drawing/2014/main" id="{F32B0DBC-CD2D-4DC8-977E-7965F9E44B2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8" name="Line 757">
          <a:extLst>
            <a:ext uri="{FF2B5EF4-FFF2-40B4-BE49-F238E27FC236}">
              <a16:creationId xmlns:a16="http://schemas.microsoft.com/office/drawing/2014/main" id="{5A9E3D65-5F7A-4259-8BED-13B233D630C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59" name="Line 759">
          <a:extLst>
            <a:ext uri="{FF2B5EF4-FFF2-40B4-BE49-F238E27FC236}">
              <a16:creationId xmlns:a16="http://schemas.microsoft.com/office/drawing/2014/main" id="{CCD0342E-7DEC-4F66-9F23-93AA97D1E6BF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0" name="Line 761">
          <a:extLst>
            <a:ext uri="{FF2B5EF4-FFF2-40B4-BE49-F238E27FC236}">
              <a16:creationId xmlns:a16="http://schemas.microsoft.com/office/drawing/2014/main" id="{79654532-857D-4B73-9085-B230C99D31E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1" name="Line 763">
          <a:extLst>
            <a:ext uri="{FF2B5EF4-FFF2-40B4-BE49-F238E27FC236}">
              <a16:creationId xmlns:a16="http://schemas.microsoft.com/office/drawing/2014/main" id="{99B6012C-F768-42BC-8A9D-92FB37EEFEA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2" name="Line 765">
          <a:extLst>
            <a:ext uri="{FF2B5EF4-FFF2-40B4-BE49-F238E27FC236}">
              <a16:creationId xmlns:a16="http://schemas.microsoft.com/office/drawing/2014/main" id="{ACBCB7B5-8807-4406-BF8C-9581C7B902E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3" name="Line 767">
          <a:extLst>
            <a:ext uri="{FF2B5EF4-FFF2-40B4-BE49-F238E27FC236}">
              <a16:creationId xmlns:a16="http://schemas.microsoft.com/office/drawing/2014/main" id="{C75E7371-3933-4A8E-8F55-003C1BDF34E1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4" name="Line 769">
          <a:extLst>
            <a:ext uri="{FF2B5EF4-FFF2-40B4-BE49-F238E27FC236}">
              <a16:creationId xmlns:a16="http://schemas.microsoft.com/office/drawing/2014/main" id="{BF1F2F9B-F3D5-41B9-BF43-95B49E4E3E7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5" name="Line 771">
          <a:extLst>
            <a:ext uri="{FF2B5EF4-FFF2-40B4-BE49-F238E27FC236}">
              <a16:creationId xmlns:a16="http://schemas.microsoft.com/office/drawing/2014/main" id="{952071C9-F57C-46A1-8493-8C60CD8B4D06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6" name="Line 773">
          <a:extLst>
            <a:ext uri="{FF2B5EF4-FFF2-40B4-BE49-F238E27FC236}">
              <a16:creationId xmlns:a16="http://schemas.microsoft.com/office/drawing/2014/main" id="{F59D09CC-1EC2-4EF8-9FF3-B5962C9716E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7" name="Line 775">
          <a:extLst>
            <a:ext uri="{FF2B5EF4-FFF2-40B4-BE49-F238E27FC236}">
              <a16:creationId xmlns:a16="http://schemas.microsoft.com/office/drawing/2014/main" id="{05492CC4-E36F-4460-B676-BB258B9FBDC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8" name="Line 777">
          <a:extLst>
            <a:ext uri="{FF2B5EF4-FFF2-40B4-BE49-F238E27FC236}">
              <a16:creationId xmlns:a16="http://schemas.microsoft.com/office/drawing/2014/main" id="{6CDD90D3-128A-4449-BBC2-4A133A2BCA24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69" name="Line 779">
          <a:extLst>
            <a:ext uri="{FF2B5EF4-FFF2-40B4-BE49-F238E27FC236}">
              <a16:creationId xmlns:a16="http://schemas.microsoft.com/office/drawing/2014/main" id="{FB5B073E-D011-42ED-8071-EF251C9E9400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0" name="Line 781">
          <a:extLst>
            <a:ext uri="{FF2B5EF4-FFF2-40B4-BE49-F238E27FC236}">
              <a16:creationId xmlns:a16="http://schemas.microsoft.com/office/drawing/2014/main" id="{D0257E85-01DB-4254-B729-AB763AB96923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1" name="Line 783">
          <a:extLst>
            <a:ext uri="{FF2B5EF4-FFF2-40B4-BE49-F238E27FC236}">
              <a16:creationId xmlns:a16="http://schemas.microsoft.com/office/drawing/2014/main" id="{3B742542-1215-4D09-9F8D-EE52844D0B3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2" name="Line 785">
          <a:extLst>
            <a:ext uri="{FF2B5EF4-FFF2-40B4-BE49-F238E27FC236}">
              <a16:creationId xmlns:a16="http://schemas.microsoft.com/office/drawing/2014/main" id="{A248EAF3-7948-4930-B76F-59C30C35CB5B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3" name="Line 787">
          <a:extLst>
            <a:ext uri="{FF2B5EF4-FFF2-40B4-BE49-F238E27FC236}">
              <a16:creationId xmlns:a16="http://schemas.microsoft.com/office/drawing/2014/main" id="{4D3146BB-2F47-41DF-A02C-26B96B383E2A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4" name="Line 789">
          <a:extLst>
            <a:ext uri="{FF2B5EF4-FFF2-40B4-BE49-F238E27FC236}">
              <a16:creationId xmlns:a16="http://schemas.microsoft.com/office/drawing/2014/main" id="{F06E0F35-7E27-4B52-AB46-5604F4C666AC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75</xdr:row>
      <xdr:rowOff>0</xdr:rowOff>
    </xdr:from>
    <xdr:to>
      <xdr:col>14</xdr:col>
      <xdr:colOff>0</xdr:colOff>
      <xdr:row>75</xdr:row>
      <xdr:rowOff>0</xdr:rowOff>
    </xdr:to>
    <xdr:sp macro="" textlink="">
      <xdr:nvSpPr>
        <xdr:cNvPr id="675" name="Line 791">
          <a:extLst>
            <a:ext uri="{FF2B5EF4-FFF2-40B4-BE49-F238E27FC236}">
              <a16:creationId xmlns:a16="http://schemas.microsoft.com/office/drawing/2014/main" id="{E7D43534-362A-4C67-9EA7-4B5F893F86D5}"/>
            </a:ext>
          </a:extLst>
        </xdr:cNvPr>
        <xdr:cNvSpPr>
          <a:spLocks noChangeShapeType="1"/>
        </xdr:cNvSpPr>
      </xdr:nvSpPr>
      <xdr:spPr bwMode="auto">
        <a:xfrm>
          <a:off x="4400550" y="12858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676" name="Line 41">
          <a:extLst>
            <a:ext uri="{FF2B5EF4-FFF2-40B4-BE49-F238E27FC236}">
              <a16:creationId xmlns:a16="http://schemas.microsoft.com/office/drawing/2014/main" id="{4EDF07C9-B8E7-4967-A5C3-FFF6A1C03427}"/>
            </a:ext>
          </a:extLst>
        </xdr:cNvPr>
        <xdr:cNvSpPr>
          <a:spLocks noChangeShapeType="1"/>
        </xdr:cNvSpPr>
      </xdr:nvSpPr>
      <xdr:spPr bwMode="auto">
        <a:xfrm>
          <a:off x="440055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79</xdr:row>
      <xdr:rowOff>104775</xdr:rowOff>
    </xdr:from>
    <xdr:to>
      <xdr:col>14</xdr:col>
      <xdr:colOff>0</xdr:colOff>
      <xdr:row>80</xdr:row>
      <xdr:rowOff>57150</xdr:rowOff>
    </xdr:to>
    <xdr:sp macro="" textlink="">
      <xdr:nvSpPr>
        <xdr:cNvPr id="677" name="Line 743">
          <a:extLst>
            <a:ext uri="{FF2B5EF4-FFF2-40B4-BE49-F238E27FC236}">
              <a16:creationId xmlns:a16="http://schemas.microsoft.com/office/drawing/2014/main" id="{D1F253DA-F3F5-4F71-8767-0FDA8ADBC7AA}"/>
            </a:ext>
          </a:extLst>
        </xdr:cNvPr>
        <xdr:cNvSpPr>
          <a:spLocks noChangeShapeType="1"/>
        </xdr:cNvSpPr>
      </xdr:nvSpPr>
      <xdr:spPr bwMode="auto">
        <a:xfrm>
          <a:off x="4400550" y="136493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78" name="Line 43">
          <a:extLst>
            <a:ext uri="{FF2B5EF4-FFF2-40B4-BE49-F238E27FC236}">
              <a16:creationId xmlns:a16="http://schemas.microsoft.com/office/drawing/2014/main" id="{B82821A4-B204-4BA6-924B-A77205092EC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79" name="Line 45">
          <a:extLst>
            <a:ext uri="{FF2B5EF4-FFF2-40B4-BE49-F238E27FC236}">
              <a16:creationId xmlns:a16="http://schemas.microsoft.com/office/drawing/2014/main" id="{BAF8E3F2-66D4-4090-AA2A-4BA5C9986C3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0" name="Line 47">
          <a:extLst>
            <a:ext uri="{FF2B5EF4-FFF2-40B4-BE49-F238E27FC236}">
              <a16:creationId xmlns:a16="http://schemas.microsoft.com/office/drawing/2014/main" id="{956FD025-6AF6-4401-B062-8D45BF1D572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1" name="Line 49">
          <a:extLst>
            <a:ext uri="{FF2B5EF4-FFF2-40B4-BE49-F238E27FC236}">
              <a16:creationId xmlns:a16="http://schemas.microsoft.com/office/drawing/2014/main" id="{7651F2A1-8667-400F-B50C-2FCB105F4775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2" name="Line 51">
          <a:extLst>
            <a:ext uri="{FF2B5EF4-FFF2-40B4-BE49-F238E27FC236}">
              <a16:creationId xmlns:a16="http://schemas.microsoft.com/office/drawing/2014/main" id="{D26A1A4D-1DF6-4093-BF27-DD030EC9C83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3" name="Line 53">
          <a:extLst>
            <a:ext uri="{FF2B5EF4-FFF2-40B4-BE49-F238E27FC236}">
              <a16:creationId xmlns:a16="http://schemas.microsoft.com/office/drawing/2014/main" id="{8C0A0B29-FF71-4E92-9DEB-7CC50FB40981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4" name="Line 55">
          <a:extLst>
            <a:ext uri="{FF2B5EF4-FFF2-40B4-BE49-F238E27FC236}">
              <a16:creationId xmlns:a16="http://schemas.microsoft.com/office/drawing/2014/main" id="{FCDD7D0D-0B2C-4EF4-8D2D-E1019F4CC8B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5" name="Line 57">
          <a:extLst>
            <a:ext uri="{FF2B5EF4-FFF2-40B4-BE49-F238E27FC236}">
              <a16:creationId xmlns:a16="http://schemas.microsoft.com/office/drawing/2014/main" id="{BBFE6E53-407C-4AF9-98D5-51B846A1236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6" name="Line 59">
          <a:extLst>
            <a:ext uri="{FF2B5EF4-FFF2-40B4-BE49-F238E27FC236}">
              <a16:creationId xmlns:a16="http://schemas.microsoft.com/office/drawing/2014/main" id="{A7F8E3E8-C5AD-4EC1-9085-C40228E2FB11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7" name="Line 61">
          <a:extLst>
            <a:ext uri="{FF2B5EF4-FFF2-40B4-BE49-F238E27FC236}">
              <a16:creationId xmlns:a16="http://schemas.microsoft.com/office/drawing/2014/main" id="{3E2DB02B-B98E-48AF-B6D2-AF1B0E3F22C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8" name="Line 63">
          <a:extLst>
            <a:ext uri="{FF2B5EF4-FFF2-40B4-BE49-F238E27FC236}">
              <a16:creationId xmlns:a16="http://schemas.microsoft.com/office/drawing/2014/main" id="{3E02CD97-1075-48DE-BDC0-E2010BCCFCD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89" name="Line 65">
          <a:extLst>
            <a:ext uri="{FF2B5EF4-FFF2-40B4-BE49-F238E27FC236}">
              <a16:creationId xmlns:a16="http://schemas.microsoft.com/office/drawing/2014/main" id="{E967A354-C69A-4B2E-9946-A9A74DB2BB1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0" name="Line 67">
          <a:extLst>
            <a:ext uri="{FF2B5EF4-FFF2-40B4-BE49-F238E27FC236}">
              <a16:creationId xmlns:a16="http://schemas.microsoft.com/office/drawing/2014/main" id="{0D692890-A3E8-41FB-92AE-262E1F903B7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1" name="Line 69">
          <a:extLst>
            <a:ext uri="{FF2B5EF4-FFF2-40B4-BE49-F238E27FC236}">
              <a16:creationId xmlns:a16="http://schemas.microsoft.com/office/drawing/2014/main" id="{66C14603-A876-42D5-B328-953CD68102A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2" name="Line 71">
          <a:extLst>
            <a:ext uri="{FF2B5EF4-FFF2-40B4-BE49-F238E27FC236}">
              <a16:creationId xmlns:a16="http://schemas.microsoft.com/office/drawing/2014/main" id="{C20E6B92-E7CA-4DB2-A2DC-115C3D9AE67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3" name="Line 73">
          <a:extLst>
            <a:ext uri="{FF2B5EF4-FFF2-40B4-BE49-F238E27FC236}">
              <a16:creationId xmlns:a16="http://schemas.microsoft.com/office/drawing/2014/main" id="{1A1419FD-9A0A-4042-8880-B2A81A5CA3E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4" name="Line 75">
          <a:extLst>
            <a:ext uri="{FF2B5EF4-FFF2-40B4-BE49-F238E27FC236}">
              <a16:creationId xmlns:a16="http://schemas.microsoft.com/office/drawing/2014/main" id="{601D3D15-81C9-4695-82CB-898AB0D38CF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5" name="Line 77">
          <a:extLst>
            <a:ext uri="{FF2B5EF4-FFF2-40B4-BE49-F238E27FC236}">
              <a16:creationId xmlns:a16="http://schemas.microsoft.com/office/drawing/2014/main" id="{E7CB4401-7DB0-439B-BC35-70D76F02AEC5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6" name="Line 79">
          <a:extLst>
            <a:ext uri="{FF2B5EF4-FFF2-40B4-BE49-F238E27FC236}">
              <a16:creationId xmlns:a16="http://schemas.microsoft.com/office/drawing/2014/main" id="{F165743B-F27B-4C3B-A793-272896FF1EF0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7" name="Line 81">
          <a:extLst>
            <a:ext uri="{FF2B5EF4-FFF2-40B4-BE49-F238E27FC236}">
              <a16:creationId xmlns:a16="http://schemas.microsoft.com/office/drawing/2014/main" id="{15463471-12FF-4A47-A620-B69DB843BE9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8" name="Line 83">
          <a:extLst>
            <a:ext uri="{FF2B5EF4-FFF2-40B4-BE49-F238E27FC236}">
              <a16:creationId xmlns:a16="http://schemas.microsoft.com/office/drawing/2014/main" id="{C9F5F85C-935A-4891-BCF0-5547B1617FA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699" name="Line 85">
          <a:extLst>
            <a:ext uri="{FF2B5EF4-FFF2-40B4-BE49-F238E27FC236}">
              <a16:creationId xmlns:a16="http://schemas.microsoft.com/office/drawing/2014/main" id="{7D4BC929-95EF-4CD5-A8AB-D20C4F6A9DB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0" name="Line 87">
          <a:extLst>
            <a:ext uri="{FF2B5EF4-FFF2-40B4-BE49-F238E27FC236}">
              <a16:creationId xmlns:a16="http://schemas.microsoft.com/office/drawing/2014/main" id="{43616AD8-9094-49F4-AC58-935C181F3DC0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1" name="Line 89">
          <a:extLst>
            <a:ext uri="{FF2B5EF4-FFF2-40B4-BE49-F238E27FC236}">
              <a16:creationId xmlns:a16="http://schemas.microsoft.com/office/drawing/2014/main" id="{FED4537B-4E87-4B82-9D50-86A2AE680D98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2" name="Line 745">
          <a:extLst>
            <a:ext uri="{FF2B5EF4-FFF2-40B4-BE49-F238E27FC236}">
              <a16:creationId xmlns:a16="http://schemas.microsoft.com/office/drawing/2014/main" id="{B12F9608-5C12-4D66-B8E4-98E1F85E6438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3" name="Line 747">
          <a:extLst>
            <a:ext uri="{FF2B5EF4-FFF2-40B4-BE49-F238E27FC236}">
              <a16:creationId xmlns:a16="http://schemas.microsoft.com/office/drawing/2014/main" id="{4D524769-BC9A-4BB7-8310-B6BFA95200D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4" name="Line 749">
          <a:extLst>
            <a:ext uri="{FF2B5EF4-FFF2-40B4-BE49-F238E27FC236}">
              <a16:creationId xmlns:a16="http://schemas.microsoft.com/office/drawing/2014/main" id="{FD26959D-8629-4C9C-976A-BC28B823CF8D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5" name="Line 751">
          <a:extLst>
            <a:ext uri="{FF2B5EF4-FFF2-40B4-BE49-F238E27FC236}">
              <a16:creationId xmlns:a16="http://schemas.microsoft.com/office/drawing/2014/main" id="{C7041449-86BA-4B5E-9974-B7D944D1F26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6" name="Line 753">
          <a:extLst>
            <a:ext uri="{FF2B5EF4-FFF2-40B4-BE49-F238E27FC236}">
              <a16:creationId xmlns:a16="http://schemas.microsoft.com/office/drawing/2014/main" id="{7CD91082-E700-4C23-BFE7-23C70F697BFC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7" name="Line 755">
          <a:extLst>
            <a:ext uri="{FF2B5EF4-FFF2-40B4-BE49-F238E27FC236}">
              <a16:creationId xmlns:a16="http://schemas.microsoft.com/office/drawing/2014/main" id="{89CEB119-9218-4216-A8D6-A56A2AE61A3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8" name="Line 757">
          <a:extLst>
            <a:ext uri="{FF2B5EF4-FFF2-40B4-BE49-F238E27FC236}">
              <a16:creationId xmlns:a16="http://schemas.microsoft.com/office/drawing/2014/main" id="{748FBEFA-46F7-46B0-80A0-4F3C594C4C12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09" name="Line 759">
          <a:extLst>
            <a:ext uri="{FF2B5EF4-FFF2-40B4-BE49-F238E27FC236}">
              <a16:creationId xmlns:a16="http://schemas.microsoft.com/office/drawing/2014/main" id="{856F7C28-CAE1-4756-B3AA-6532B234A1DA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0" name="Line 761">
          <a:extLst>
            <a:ext uri="{FF2B5EF4-FFF2-40B4-BE49-F238E27FC236}">
              <a16:creationId xmlns:a16="http://schemas.microsoft.com/office/drawing/2014/main" id="{B41AAA7A-2702-4E99-B02E-73F843C9FEFB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1" name="Line 763">
          <a:extLst>
            <a:ext uri="{FF2B5EF4-FFF2-40B4-BE49-F238E27FC236}">
              <a16:creationId xmlns:a16="http://schemas.microsoft.com/office/drawing/2014/main" id="{09623D02-16A0-4649-AE53-E01561C4D91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2" name="Line 765">
          <a:extLst>
            <a:ext uri="{FF2B5EF4-FFF2-40B4-BE49-F238E27FC236}">
              <a16:creationId xmlns:a16="http://schemas.microsoft.com/office/drawing/2014/main" id="{7900783D-3187-43F2-87F8-75F58C5BC6CE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3" name="Line 767">
          <a:extLst>
            <a:ext uri="{FF2B5EF4-FFF2-40B4-BE49-F238E27FC236}">
              <a16:creationId xmlns:a16="http://schemas.microsoft.com/office/drawing/2014/main" id="{C53C53F8-75A1-4EAC-B912-EA32579418C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4" name="Line 769">
          <a:extLst>
            <a:ext uri="{FF2B5EF4-FFF2-40B4-BE49-F238E27FC236}">
              <a16:creationId xmlns:a16="http://schemas.microsoft.com/office/drawing/2014/main" id="{4C6BDE24-608E-4EA2-9229-ADF8B9107B4F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5" name="Line 771">
          <a:extLst>
            <a:ext uri="{FF2B5EF4-FFF2-40B4-BE49-F238E27FC236}">
              <a16:creationId xmlns:a16="http://schemas.microsoft.com/office/drawing/2014/main" id="{D9E30AD5-0DB3-4A3E-9CE4-B59DDD5F8899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6" name="Line 773">
          <a:extLst>
            <a:ext uri="{FF2B5EF4-FFF2-40B4-BE49-F238E27FC236}">
              <a16:creationId xmlns:a16="http://schemas.microsoft.com/office/drawing/2014/main" id="{C12297FC-455B-404E-868B-243E3BE906F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7" name="Line 775">
          <a:extLst>
            <a:ext uri="{FF2B5EF4-FFF2-40B4-BE49-F238E27FC236}">
              <a16:creationId xmlns:a16="http://schemas.microsoft.com/office/drawing/2014/main" id="{6D4B1921-C165-451A-9DB4-9BFC0D6476F7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8" name="Line 777">
          <a:extLst>
            <a:ext uri="{FF2B5EF4-FFF2-40B4-BE49-F238E27FC236}">
              <a16:creationId xmlns:a16="http://schemas.microsoft.com/office/drawing/2014/main" id="{8A56010E-6D9B-4D44-BD93-C50CD58154C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19" name="Line 779">
          <a:extLst>
            <a:ext uri="{FF2B5EF4-FFF2-40B4-BE49-F238E27FC236}">
              <a16:creationId xmlns:a16="http://schemas.microsoft.com/office/drawing/2014/main" id="{48676008-63EE-4352-AE12-EE36EBB82D04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0" name="Line 781">
          <a:extLst>
            <a:ext uri="{FF2B5EF4-FFF2-40B4-BE49-F238E27FC236}">
              <a16:creationId xmlns:a16="http://schemas.microsoft.com/office/drawing/2014/main" id="{67BE22B2-2CC7-41DE-B14A-5F2F05520551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1" name="Line 783">
          <a:extLst>
            <a:ext uri="{FF2B5EF4-FFF2-40B4-BE49-F238E27FC236}">
              <a16:creationId xmlns:a16="http://schemas.microsoft.com/office/drawing/2014/main" id="{5E342CE8-680E-45CC-80FB-8A2879B6F40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2" name="Line 785">
          <a:extLst>
            <a:ext uri="{FF2B5EF4-FFF2-40B4-BE49-F238E27FC236}">
              <a16:creationId xmlns:a16="http://schemas.microsoft.com/office/drawing/2014/main" id="{2066ECA6-7A12-4509-8C5C-B23C645BF773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3" name="Line 787">
          <a:extLst>
            <a:ext uri="{FF2B5EF4-FFF2-40B4-BE49-F238E27FC236}">
              <a16:creationId xmlns:a16="http://schemas.microsoft.com/office/drawing/2014/main" id="{31442CD6-4E0A-4E0B-AFAE-899F6637F3F6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4" name="Line 789">
          <a:extLst>
            <a:ext uri="{FF2B5EF4-FFF2-40B4-BE49-F238E27FC236}">
              <a16:creationId xmlns:a16="http://schemas.microsoft.com/office/drawing/2014/main" id="{A952CEDB-B2D5-423E-8698-C739E327D021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113</xdr:row>
      <xdr:rowOff>0</xdr:rowOff>
    </xdr:from>
    <xdr:to>
      <xdr:col>14</xdr:col>
      <xdr:colOff>0</xdr:colOff>
      <xdr:row>113</xdr:row>
      <xdr:rowOff>0</xdr:rowOff>
    </xdr:to>
    <xdr:sp macro="" textlink="">
      <xdr:nvSpPr>
        <xdr:cNvPr id="725" name="Line 791">
          <a:extLst>
            <a:ext uri="{FF2B5EF4-FFF2-40B4-BE49-F238E27FC236}">
              <a16:creationId xmlns:a16="http://schemas.microsoft.com/office/drawing/2014/main" id="{382DE356-B72E-4D12-98F1-B929712C0378}"/>
            </a:ext>
          </a:extLst>
        </xdr:cNvPr>
        <xdr:cNvSpPr>
          <a:spLocks noChangeShapeType="1"/>
        </xdr:cNvSpPr>
      </xdr:nvSpPr>
      <xdr:spPr bwMode="auto">
        <a:xfrm>
          <a:off x="4400550" y="193738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726" name="Line 41">
          <a:extLst>
            <a:ext uri="{FF2B5EF4-FFF2-40B4-BE49-F238E27FC236}">
              <a16:creationId xmlns:a16="http://schemas.microsoft.com/office/drawing/2014/main" id="{BF411FB1-F3C0-4040-9EE5-99AB16DE2C02}"/>
            </a:ext>
          </a:extLst>
        </xdr:cNvPr>
        <xdr:cNvSpPr>
          <a:spLocks noChangeShapeType="1"/>
        </xdr:cNvSpPr>
      </xdr:nvSpPr>
      <xdr:spPr bwMode="auto">
        <a:xfrm>
          <a:off x="440055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117</xdr:row>
      <xdr:rowOff>104775</xdr:rowOff>
    </xdr:from>
    <xdr:to>
      <xdr:col>14</xdr:col>
      <xdr:colOff>0</xdr:colOff>
      <xdr:row>118</xdr:row>
      <xdr:rowOff>57150</xdr:rowOff>
    </xdr:to>
    <xdr:sp macro="" textlink="">
      <xdr:nvSpPr>
        <xdr:cNvPr id="727" name="Line 743">
          <a:extLst>
            <a:ext uri="{FF2B5EF4-FFF2-40B4-BE49-F238E27FC236}">
              <a16:creationId xmlns:a16="http://schemas.microsoft.com/office/drawing/2014/main" id="{85D6EDED-7A93-45EE-AA94-45CAFCAA5743}"/>
            </a:ext>
          </a:extLst>
        </xdr:cNvPr>
        <xdr:cNvSpPr>
          <a:spLocks noChangeShapeType="1"/>
        </xdr:cNvSpPr>
      </xdr:nvSpPr>
      <xdr:spPr bwMode="auto">
        <a:xfrm>
          <a:off x="4400550" y="201644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28" name="Line 43">
          <a:extLst>
            <a:ext uri="{FF2B5EF4-FFF2-40B4-BE49-F238E27FC236}">
              <a16:creationId xmlns:a16="http://schemas.microsoft.com/office/drawing/2014/main" id="{21537BEC-7484-4202-B883-C689BB0D668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29" name="Line 45">
          <a:extLst>
            <a:ext uri="{FF2B5EF4-FFF2-40B4-BE49-F238E27FC236}">
              <a16:creationId xmlns:a16="http://schemas.microsoft.com/office/drawing/2014/main" id="{63466F65-72C4-4F10-8064-278A2DAE17C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0" name="Line 47">
          <a:extLst>
            <a:ext uri="{FF2B5EF4-FFF2-40B4-BE49-F238E27FC236}">
              <a16:creationId xmlns:a16="http://schemas.microsoft.com/office/drawing/2014/main" id="{36C4F01E-EFBE-4641-ABAC-96734694BAE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1" name="Line 49">
          <a:extLst>
            <a:ext uri="{FF2B5EF4-FFF2-40B4-BE49-F238E27FC236}">
              <a16:creationId xmlns:a16="http://schemas.microsoft.com/office/drawing/2014/main" id="{610E041F-DE39-495B-A5FD-7884536CF940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2" name="Line 51">
          <a:extLst>
            <a:ext uri="{FF2B5EF4-FFF2-40B4-BE49-F238E27FC236}">
              <a16:creationId xmlns:a16="http://schemas.microsoft.com/office/drawing/2014/main" id="{3E9B2589-30B3-4E92-8213-B4817037ADA2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3" name="Line 53">
          <a:extLst>
            <a:ext uri="{FF2B5EF4-FFF2-40B4-BE49-F238E27FC236}">
              <a16:creationId xmlns:a16="http://schemas.microsoft.com/office/drawing/2014/main" id="{667FC943-639D-4133-8A96-52D0654D338B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4" name="Line 55">
          <a:extLst>
            <a:ext uri="{FF2B5EF4-FFF2-40B4-BE49-F238E27FC236}">
              <a16:creationId xmlns:a16="http://schemas.microsoft.com/office/drawing/2014/main" id="{CEE02305-DDE1-44B1-943C-53EE2351C4AF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5" name="Line 57">
          <a:extLst>
            <a:ext uri="{FF2B5EF4-FFF2-40B4-BE49-F238E27FC236}">
              <a16:creationId xmlns:a16="http://schemas.microsoft.com/office/drawing/2014/main" id="{A4ABE441-4744-4271-94F7-7943EE734CD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6" name="Line 59">
          <a:extLst>
            <a:ext uri="{FF2B5EF4-FFF2-40B4-BE49-F238E27FC236}">
              <a16:creationId xmlns:a16="http://schemas.microsoft.com/office/drawing/2014/main" id="{037C4AFC-68DD-49B6-8E62-8BAAAC121DB4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7" name="Line 61">
          <a:extLst>
            <a:ext uri="{FF2B5EF4-FFF2-40B4-BE49-F238E27FC236}">
              <a16:creationId xmlns:a16="http://schemas.microsoft.com/office/drawing/2014/main" id="{29D36B81-2BE3-4D60-8375-4066512A5D6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8" name="Line 63">
          <a:extLst>
            <a:ext uri="{FF2B5EF4-FFF2-40B4-BE49-F238E27FC236}">
              <a16:creationId xmlns:a16="http://schemas.microsoft.com/office/drawing/2014/main" id="{4A2342FE-840B-4CC4-B5FF-97D8CCF0691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39" name="Line 65">
          <a:extLst>
            <a:ext uri="{FF2B5EF4-FFF2-40B4-BE49-F238E27FC236}">
              <a16:creationId xmlns:a16="http://schemas.microsoft.com/office/drawing/2014/main" id="{EDD69AAB-AB59-4A97-8FF2-E6BA73A550C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0" name="Line 67">
          <a:extLst>
            <a:ext uri="{FF2B5EF4-FFF2-40B4-BE49-F238E27FC236}">
              <a16:creationId xmlns:a16="http://schemas.microsoft.com/office/drawing/2014/main" id="{FB842B35-D779-4DA2-B6BB-7B821DC2C6EF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1" name="Line 69">
          <a:extLst>
            <a:ext uri="{FF2B5EF4-FFF2-40B4-BE49-F238E27FC236}">
              <a16:creationId xmlns:a16="http://schemas.microsoft.com/office/drawing/2014/main" id="{5F1B48BF-2A6E-4753-A8F1-A72074A36ED8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2" name="Line 71">
          <a:extLst>
            <a:ext uri="{FF2B5EF4-FFF2-40B4-BE49-F238E27FC236}">
              <a16:creationId xmlns:a16="http://schemas.microsoft.com/office/drawing/2014/main" id="{39179406-12F8-4537-9F8A-097651456E4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3" name="Line 73">
          <a:extLst>
            <a:ext uri="{FF2B5EF4-FFF2-40B4-BE49-F238E27FC236}">
              <a16:creationId xmlns:a16="http://schemas.microsoft.com/office/drawing/2014/main" id="{062D8894-AC9D-44EA-975C-E2048E8111F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4" name="Line 75">
          <a:extLst>
            <a:ext uri="{FF2B5EF4-FFF2-40B4-BE49-F238E27FC236}">
              <a16:creationId xmlns:a16="http://schemas.microsoft.com/office/drawing/2014/main" id="{421FBB7F-5A14-4BF4-8717-7EB3D8BD124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5" name="Line 77">
          <a:extLst>
            <a:ext uri="{FF2B5EF4-FFF2-40B4-BE49-F238E27FC236}">
              <a16:creationId xmlns:a16="http://schemas.microsoft.com/office/drawing/2014/main" id="{F702579F-F4A4-4320-84A5-293BC466307B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6" name="Line 79">
          <a:extLst>
            <a:ext uri="{FF2B5EF4-FFF2-40B4-BE49-F238E27FC236}">
              <a16:creationId xmlns:a16="http://schemas.microsoft.com/office/drawing/2014/main" id="{57748125-3B90-48A4-9410-073EC2DEDBB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7" name="Line 81">
          <a:extLst>
            <a:ext uri="{FF2B5EF4-FFF2-40B4-BE49-F238E27FC236}">
              <a16:creationId xmlns:a16="http://schemas.microsoft.com/office/drawing/2014/main" id="{EB951D60-3588-44A5-8F34-4C2CE0AC66D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8" name="Line 83">
          <a:extLst>
            <a:ext uri="{FF2B5EF4-FFF2-40B4-BE49-F238E27FC236}">
              <a16:creationId xmlns:a16="http://schemas.microsoft.com/office/drawing/2014/main" id="{2B98F2E2-8F94-4BDE-868D-83A5D4F371B9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49" name="Line 85">
          <a:extLst>
            <a:ext uri="{FF2B5EF4-FFF2-40B4-BE49-F238E27FC236}">
              <a16:creationId xmlns:a16="http://schemas.microsoft.com/office/drawing/2014/main" id="{E521CD8D-CCF4-48AE-AE65-8DBFF3500EE3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0" name="Line 87">
          <a:extLst>
            <a:ext uri="{FF2B5EF4-FFF2-40B4-BE49-F238E27FC236}">
              <a16:creationId xmlns:a16="http://schemas.microsoft.com/office/drawing/2014/main" id="{0515E7B9-24BE-4D35-9B12-D37992D2133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1" name="Line 89">
          <a:extLst>
            <a:ext uri="{FF2B5EF4-FFF2-40B4-BE49-F238E27FC236}">
              <a16:creationId xmlns:a16="http://schemas.microsoft.com/office/drawing/2014/main" id="{641401A9-2219-4F1C-9C53-67269A0CA35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2" name="Line 745">
          <a:extLst>
            <a:ext uri="{FF2B5EF4-FFF2-40B4-BE49-F238E27FC236}">
              <a16:creationId xmlns:a16="http://schemas.microsoft.com/office/drawing/2014/main" id="{EA3774FA-97E1-4489-B504-84C22B358F5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3" name="Line 747">
          <a:extLst>
            <a:ext uri="{FF2B5EF4-FFF2-40B4-BE49-F238E27FC236}">
              <a16:creationId xmlns:a16="http://schemas.microsoft.com/office/drawing/2014/main" id="{FB179A56-6BD6-489A-9145-CD1804470174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4" name="Line 749">
          <a:extLst>
            <a:ext uri="{FF2B5EF4-FFF2-40B4-BE49-F238E27FC236}">
              <a16:creationId xmlns:a16="http://schemas.microsoft.com/office/drawing/2014/main" id="{D129051C-9C91-4AEB-8E6D-95A762372BD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5" name="Line 751">
          <a:extLst>
            <a:ext uri="{FF2B5EF4-FFF2-40B4-BE49-F238E27FC236}">
              <a16:creationId xmlns:a16="http://schemas.microsoft.com/office/drawing/2014/main" id="{3FE831B3-F7FD-4B9D-81DE-3C7C9C0B67F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6" name="Line 753">
          <a:extLst>
            <a:ext uri="{FF2B5EF4-FFF2-40B4-BE49-F238E27FC236}">
              <a16:creationId xmlns:a16="http://schemas.microsoft.com/office/drawing/2014/main" id="{F2CD6081-BC7F-436A-AAF4-69ED85D9ED61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7" name="Line 755">
          <a:extLst>
            <a:ext uri="{FF2B5EF4-FFF2-40B4-BE49-F238E27FC236}">
              <a16:creationId xmlns:a16="http://schemas.microsoft.com/office/drawing/2014/main" id="{CDAC183B-D64F-4C8B-8B7B-CCB8AF68035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8" name="Line 757">
          <a:extLst>
            <a:ext uri="{FF2B5EF4-FFF2-40B4-BE49-F238E27FC236}">
              <a16:creationId xmlns:a16="http://schemas.microsoft.com/office/drawing/2014/main" id="{CB04B7CC-C6EB-430E-893F-4146839B37CB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59" name="Line 759">
          <a:extLst>
            <a:ext uri="{FF2B5EF4-FFF2-40B4-BE49-F238E27FC236}">
              <a16:creationId xmlns:a16="http://schemas.microsoft.com/office/drawing/2014/main" id="{6C3BB5D4-2DDD-4B92-BBDA-5C99387BFD6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0" name="Line 761">
          <a:extLst>
            <a:ext uri="{FF2B5EF4-FFF2-40B4-BE49-F238E27FC236}">
              <a16:creationId xmlns:a16="http://schemas.microsoft.com/office/drawing/2014/main" id="{8AE81192-6E83-4DDD-839A-026BC2D5D57E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1" name="Line 763">
          <a:extLst>
            <a:ext uri="{FF2B5EF4-FFF2-40B4-BE49-F238E27FC236}">
              <a16:creationId xmlns:a16="http://schemas.microsoft.com/office/drawing/2014/main" id="{DD35320A-77F8-409D-A12C-BBCA68AADB33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2" name="Line 765">
          <a:extLst>
            <a:ext uri="{FF2B5EF4-FFF2-40B4-BE49-F238E27FC236}">
              <a16:creationId xmlns:a16="http://schemas.microsoft.com/office/drawing/2014/main" id="{D2918A83-DED4-4E75-BAC5-1116960E963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3" name="Line 767">
          <a:extLst>
            <a:ext uri="{FF2B5EF4-FFF2-40B4-BE49-F238E27FC236}">
              <a16:creationId xmlns:a16="http://schemas.microsoft.com/office/drawing/2014/main" id="{2351DD29-9115-496C-91FD-6B0CBAD267DB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4" name="Line 769">
          <a:extLst>
            <a:ext uri="{FF2B5EF4-FFF2-40B4-BE49-F238E27FC236}">
              <a16:creationId xmlns:a16="http://schemas.microsoft.com/office/drawing/2014/main" id="{6B29338B-8DC6-48D4-B682-FBD6E69DCBC4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5" name="Line 771">
          <a:extLst>
            <a:ext uri="{FF2B5EF4-FFF2-40B4-BE49-F238E27FC236}">
              <a16:creationId xmlns:a16="http://schemas.microsoft.com/office/drawing/2014/main" id="{9C7FE830-8D72-4117-A1EA-C87982841FB8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6" name="Line 773">
          <a:extLst>
            <a:ext uri="{FF2B5EF4-FFF2-40B4-BE49-F238E27FC236}">
              <a16:creationId xmlns:a16="http://schemas.microsoft.com/office/drawing/2014/main" id="{DDDEECBB-3DD5-467F-9B24-4B4419B41936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7" name="Line 775">
          <a:extLst>
            <a:ext uri="{FF2B5EF4-FFF2-40B4-BE49-F238E27FC236}">
              <a16:creationId xmlns:a16="http://schemas.microsoft.com/office/drawing/2014/main" id="{4BB22530-2A4E-4018-B7CF-27108C7C86E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8" name="Line 777">
          <a:extLst>
            <a:ext uri="{FF2B5EF4-FFF2-40B4-BE49-F238E27FC236}">
              <a16:creationId xmlns:a16="http://schemas.microsoft.com/office/drawing/2014/main" id="{B1636007-7146-4499-83DA-69943B39BC9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69" name="Line 779">
          <a:extLst>
            <a:ext uri="{FF2B5EF4-FFF2-40B4-BE49-F238E27FC236}">
              <a16:creationId xmlns:a16="http://schemas.microsoft.com/office/drawing/2014/main" id="{3925C9D1-2124-4EB8-B7D1-D52727998BDA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0" name="Line 781">
          <a:extLst>
            <a:ext uri="{FF2B5EF4-FFF2-40B4-BE49-F238E27FC236}">
              <a16:creationId xmlns:a16="http://schemas.microsoft.com/office/drawing/2014/main" id="{7E7DD7D7-1E6E-49B5-954B-F309B9AE82B7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1" name="Line 783">
          <a:extLst>
            <a:ext uri="{FF2B5EF4-FFF2-40B4-BE49-F238E27FC236}">
              <a16:creationId xmlns:a16="http://schemas.microsoft.com/office/drawing/2014/main" id="{AA0719A4-2D6A-432B-B5D7-2E11304D97ED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2" name="Line 785">
          <a:extLst>
            <a:ext uri="{FF2B5EF4-FFF2-40B4-BE49-F238E27FC236}">
              <a16:creationId xmlns:a16="http://schemas.microsoft.com/office/drawing/2014/main" id="{611C4A9D-07BB-48F1-B1A8-02A6129E223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3" name="Line 787">
          <a:extLst>
            <a:ext uri="{FF2B5EF4-FFF2-40B4-BE49-F238E27FC236}">
              <a16:creationId xmlns:a16="http://schemas.microsoft.com/office/drawing/2014/main" id="{C95EB8B1-163B-431D-8122-BC21F7B736C3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4" name="Line 789">
          <a:extLst>
            <a:ext uri="{FF2B5EF4-FFF2-40B4-BE49-F238E27FC236}">
              <a16:creationId xmlns:a16="http://schemas.microsoft.com/office/drawing/2014/main" id="{A963939D-AA44-40C5-90FD-EF38C5C29F5B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151</xdr:row>
      <xdr:rowOff>0</xdr:rowOff>
    </xdr:from>
    <xdr:to>
      <xdr:col>14</xdr:col>
      <xdr:colOff>0</xdr:colOff>
      <xdr:row>151</xdr:row>
      <xdr:rowOff>0</xdr:rowOff>
    </xdr:to>
    <xdr:sp macro="" textlink="">
      <xdr:nvSpPr>
        <xdr:cNvPr id="775" name="Line 791">
          <a:extLst>
            <a:ext uri="{FF2B5EF4-FFF2-40B4-BE49-F238E27FC236}">
              <a16:creationId xmlns:a16="http://schemas.microsoft.com/office/drawing/2014/main" id="{86B450D5-1B60-4E0E-AE28-478FE0170ECC}"/>
            </a:ext>
          </a:extLst>
        </xdr:cNvPr>
        <xdr:cNvSpPr>
          <a:spLocks noChangeShapeType="1"/>
        </xdr:cNvSpPr>
      </xdr:nvSpPr>
      <xdr:spPr bwMode="auto">
        <a:xfrm>
          <a:off x="4400550" y="258889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776" name="Line 41">
          <a:extLst>
            <a:ext uri="{FF2B5EF4-FFF2-40B4-BE49-F238E27FC236}">
              <a16:creationId xmlns:a16="http://schemas.microsoft.com/office/drawing/2014/main" id="{AE0DE0B2-151A-40A4-8C34-E2CB2FD614DF}"/>
            </a:ext>
          </a:extLst>
        </xdr:cNvPr>
        <xdr:cNvSpPr>
          <a:spLocks noChangeShapeType="1"/>
        </xdr:cNvSpPr>
      </xdr:nvSpPr>
      <xdr:spPr bwMode="auto">
        <a:xfrm>
          <a:off x="440055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155</xdr:row>
      <xdr:rowOff>104775</xdr:rowOff>
    </xdr:from>
    <xdr:to>
      <xdr:col>14</xdr:col>
      <xdr:colOff>0</xdr:colOff>
      <xdr:row>156</xdr:row>
      <xdr:rowOff>57150</xdr:rowOff>
    </xdr:to>
    <xdr:sp macro="" textlink="">
      <xdr:nvSpPr>
        <xdr:cNvPr id="777" name="Line 743">
          <a:extLst>
            <a:ext uri="{FF2B5EF4-FFF2-40B4-BE49-F238E27FC236}">
              <a16:creationId xmlns:a16="http://schemas.microsoft.com/office/drawing/2014/main" id="{7E7B296D-7B92-481B-ABE8-A5A46BC54C40}"/>
            </a:ext>
          </a:extLst>
        </xdr:cNvPr>
        <xdr:cNvSpPr>
          <a:spLocks noChangeShapeType="1"/>
        </xdr:cNvSpPr>
      </xdr:nvSpPr>
      <xdr:spPr bwMode="auto">
        <a:xfrm>
          <a:off x="4400550" y="266795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78" name="Line 43">
          <a:extLst>
            <a:ext uri="{FF2B5EF4-FFF2-40B4-BE49-F238E27FC236}">
              <a16:creationId xmlns:a16="http://schemas.microsoft.com/office/drawing/2014/main" id="{0998F65B-4C2B-42CA-90B5-B278FC0528D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79" name="Line 45">
          <a:extLst>
            <a:ext uri="{FF2B5EF4-FFF2-40B4-BE49-F238E27FC236}">
              <a16:creationId xmlns:a16="http://schemas.microsoft.com/office/drawing/2014/main" id="{9C4367CA-6D23-4EE2-B33B-B7D852187CE5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0" name="Line 47">
          <a:extLst>
            <a:ext uri="{FF2B5EF4-FFF2-40B4-BE49-F238E27FC236}">
              <a16:creationId xmlns:a16="http://schemas.microsoft.com/office/drawing/2014/main" id="{7B782F0F-2EC0-4BD6-A603-74399DAA474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1" name="Line 49">
          <a:extLst>
            <a:ext uri="{FF2B5EF4-FFF2-40B4-BE49-F238E27FC236}">
              <a16:creationId xmlns:a16="http://schemas.microsoft.com/office/drawing/2014/main" id="{F979591C-22D9-4D1D-A1D7-812FAF22560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2" name="Line 51">
          <a:extLst>
            <a:ext uri="{FF2B5EF4-FFF2-40B4-BE49-F238E27FC236}">
              <a16:creationId xmlns:a16="http://schemas.microsoft.com/office/drawing/2014/main" id="{C4440D40-5F65-4D8C-BCFA-D4290862461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3" name="Line 53">
          <a:extLst>
            <a:ext uri="{FF2B5EF4-FFF2-40B4-BE49-F238E27FC236}">
              <a16:creationId xmlns:a16="http://schemas.microsoft.com/office/drawing/2014/main" id="{26B6397D-3F49-4A04-82E5-993AF76DA66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4" name="Line 55">
          <a:extLst>
            <a:ext uri="{FF2B5EF4-FFF2-40B4-BE49-F238E27FC236}">
              <a16:creationId xmlns:a16="http://schemas.microsoft.com/office/drawing/2014/main" id="{DB84BDEE-AAF1-4360-90B0-86685AE8AAC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5" name="Line 57">
          <a:extLst>
            <a:ext uri="{FF2B5EF4-FFF2-40B4-BE49-F238E27FC236}">
              <a16:creationId xmlns:a16="http://schemas.microsoft.com/office/drawing/2014/main" id="{F488C684-0FBB-4EFD-B1A7-E920C7959F3F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6" name="Line 59">
          <a:extLst>
            <a:ext uri="{FF2B5EF4-FFF2-40B4-BE49-F238E27FC236}">
              <a16:creationId xmlns:a16="http://schemas.microsoft.com/office/drawing/2014/main" id="{646B30CF-C590-4E3E-A0BD-8AF41856FA1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7" name="Line 61">
          <a:extLst>
            <a:ext uri="{FF2B5EF4-FFF2-40B4-BE49-F238E27FC236}">
              <a16:creationId xmlns:a16="http://schemas.microsoft.com/office/drawing/2014/main" id="{3B560865-98FC-4EAB-872D-B7793DC7EEF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8" name="Line 63">
          <a:extLst>
            <a:ext uri="{FF2B5EF4-FFF2-40B4-BE49-F238E27FC236}">
              <a16:creationId xmlns:a16="http://schemas.microsoft.com/office/drawing/2014/main" id="{AE883246-FAFE-457E-9164-BA334C02527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89" name="Line 65">
          <a:extLst>
            <a:ext uri="{FF2B5EF4-FFF2-40B4-BE49-F238E27FC236}">
              <a16:creationId xmlns:a16="http://schemas.microsoft.com/office/drawing/2014/main" id="{DEDCEDA1-A7E1-41A8-93C0-FC81A9EDC8EA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0" name="Line 67">
          <a:extLst>
            <a:ext uri="{FF2B5EF4-FFF2-40B4-BE49-F238E27FC236}">
              <a16:creationId xmlns:a16="http://schemas.microsoft.com/office/drawing/2014/main" id="{C6C26FA5-0324-43A8-A0B7-2435C2448D7C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1" name="Line 69">
          <a:extLst>
            <a:ext uri="{FF2B5EF4-FFF2-40B4-BE49-F238E27FC236}">
              <a16:creationId xmlns:a16="http://schemas.microsoft.com/office/drawing/2014/main" id="{12DD8DBA-1E3F-4B2E-8BC9-D13D1B42B7C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2" name="Line 71">
          <a:extLst>
            <a:ext uri="{FF2B5EF4-FFF2-40B4-BE49-F238E27FC236}">
              <a16:creationId xmlns:a16="http://schemas.microsoft.com/office/drawing/2014/main" id="{0A79B5BD-B91D-4567-9E1D-683FC2CAB77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3" name="Line 73">
          <a:extLst>
            <a:ext uri="{FF2B5EF4-FFF2-40B4-BE49-F238E27FC236}">
              <a16:creationId xmlns:a16="http://schemas.microsoft.com/office/drawing/2014/main" id="{1FE781EA-229C-4842-8BED-DC3790F4A37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4" name="Line 75">
          <a:extLst>
            <a:ext uri="{FF2B5EF4-FFF2-40B4-BE49-F238E27FC236}">
              <a16:creationId xmlns:a16="http://schemas.microsoft.com/office/drawing/2014/main" id="{51A2A99F-24E3-4C2B-B356-16D81C53A19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5" name="Line 77">
          <a:extLst>
            <a:ext uri="{FF2B5EF4-FFF2-40B4-BE49-F238E27FC236}">
              <a16:creationId xmlns:a16="http://schemas.microsoft.com/office/drawing/2014/main" id="{48B53351-A8E6-4223-BCC7-2984BF8D087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6" name="Line 79">
          <a:extLst>
            <a:ext uri="{FF2B5EF4-FFF2-40B4-BE49-F238E27FC236}">
              <a16:creationId xmlns:a16="http://schemas.microsoft.com/office/drawing/2014/main" id="{E9997806-D227-4727-AABB-CE6F957E5FF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7" name="Line 81">
          <a:extLst>
            <a:ext uri="{FF2B5EF4-FFF2-40B4-BE49-F238E27FC236}">
              <a16:creationId xmlns:a16="http://schemas.microsoft.com/office/drawing/2014/main" id="{EE7E08D7-C30D-4271-84BC-4413FEA3D23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8" name="Line 83">
          <a:extLst>
            <a:ext uri="{FF2B5EF4-FFF2-40B4-BE49-F238E27FC236}">
              <a16:creationId xmlns:a16="http://schemas.microsoft.com/office/drawing/2014/main" id="{F6B9B5D9-F718-4DD3-A314-21B16C77C1C2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799" name="Line 85">
          <a:extLst>
            <a:ext uri="{FF2B5EF4-FFF2-40B4-BE49-F238E27FC236}">
              <a16:creationId xmlns:a16="http://schemas.microsoft.com/office/drawing/2014/main" id="{E16DBD45-E5FB-49BA-ACEC-2FD0CCFF0D01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0" name="Line 87">
          <a:extLst>
            <a:ext uri="{FF2B5EF4-FFF2-40B4-BE49-F238E27FC236}">
              <a16:creationId xmlns:a16="http://schemas.microsoft.com/office/drawing/2014/main" id="{2AB11EA2-0820-4F43-9C52-5D6BD1A15470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1" name="Line 89">
          <a:extLst>
            <a:ext uri="{FF2B5EF4-FFF2-40B4-BE49-F238E27FC236}">
              <a16:creationId xmlns:a16="http://schemas.microsoft.com/office/drawing/2014/main" id="{4D0F9793-63ED-4B4B-A2D9-E1BABE27DEBE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2" name="Line 745">
          <a:extLst>
            <a:ext uri="{FF2B5EF4-FFF2-40B4-BE49-F238E27FC236}">
              <a16:creationId xmlns:a16="http://schemas.microsoft.com/office/drawing/2014/main" id="{B6016AD2-B7B0-4BD8-B7A9-CDB62756420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3" name="Line 747">
          <a:extLst>
            <a:ext uri="{FF2B5EF4-FFF2-40B4-BE49-F238E27FC236}">
              <a16:creationId xmlns:a16="http://schemas.microsoft.com/office/drawing/2014/main" id="{56FF7F78-EC2D-4E74-B6F6-66CFFFA17D01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4" name="Line 749">
          <a:extLst>
            <a:ext uri="{FF2B5EF4-FFF2-40B4-BE49-F238E27FC236}">
              <a16:creationId xmlns:a16="http://schemas.microsoft.com/office/drawing/2014/main" id="{351BE4C5-A78C-4EDC-918B-E2A2A68A524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5" name="Line 751">
          <a:extLst>
            <a:ext uri="{FF2B5EF4-FFF2-40B4-BE49-F238E27FC236}">
              <a16:creationId xmlns:a16="http://schemas.microsoft.com/office/drawing/2014/main" id="{ABCC2392-C194-48F1-88B6-78D3ABA2DF3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6" name="Line 753">
          <a:extLst>
            <a:ext uri="{FF2B5EF4-FFF2-40B4-BE49-F238E27FC236}">
              <a16:creationId xmlns:a16="http://schemas.microsoft.com/office/drawing/2014/main" id="{59AA8DDB-7C43-469D-B783-591D4BB2729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7" name="Line 755">
          <a:extLst>
            <a:ext uri="{FF2B5EF4-FFF2-40B4-BE49-F238E27FC236}">
              <a16:creationId xmlns:a16="http://schemas.microsoft.com/office/drawing/2014/main" id="{0578B36A-A181-456F-B130-FC1EADA39906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8" name="Line 757">
          <a:extLst>
            <a:ext uri="{FF2B5EF4-FFF2-40B4-BE49-F238E27FC236}">
              <a16:creationId xmlns:a16="http://schemas.microsoft.com/office/drawing/2014/main" id="{F5316E4C-18BD-4C1A-A3B8-3E59E748A83D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09" name="Line 759">
          <a:extLst>
            <a:ext uri="{FF2B5EF4-FFF2-40B4-BE49-F238E27FC236}">
              <a16:creationId xmlns:a16="http://schemas.microsoft.com/office/drawing/2014/main" id="{38C58D60-4098-441A-A089-A045765A82DC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0" name="Line 761">
          <a:extLst>
            <a:ext uri="{FF2B5EF4-FFF2-40B4-BE49-F238E27FC236}">
              <a16:creationId xmlns:a16="http://schemas.microsoft.com/office/drawing/2014/main" id="{4BAD1D8A-6672-47BB-9B9B-984299082928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1" name="Line 763">
          <a:extLst>
            <a:ext uri="{FF2B5EF4-FFF2-40B4-BE49-F238E27FC236}">
              <a16:creationId xmlns:a16="http://schemas.microsoft.com/office/drawing/2014/main" id="{1DFE6863-9637-4D76-A6F4-D965633A1FCE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2" name="Line 765">
          <a:extLst>
            <a:ext uri="{FF2B5EF4-FFF2-40B4-BE49-F238E27FC236}">
              <a16:creationId xmlns:a16="http://schemas.microsoft.com/office/drawing/2014/main" id="{D914BD9F-FDA2-43CE-8597-72E35FD30B0C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3" name="Line 767">
          <a:extLst>
            <a:ext uri="{FF2B5EF4-FFF2-40B4-BE49-F238E27FC236}">
              <a16:creationId xmlns:a16="http://schemas.microsoft.com/office/drawing/2014/main" id="{782AC17F-F8F4-47E4-B115-A900850D857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4" name="Line 769">
          <a:extLst>
            <a:ext uri="{FF2B5EF4-FFF2-40B4-BE49-F238E27FC236}">
              <a16:creationId xmlns:a16="http://schemas.microsoft.com/office/drawing/2014/main" id="{3F20C750-E5DD-4466-A4C6-CE45E8D4C31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5" name="Line 771">
          <a:extLst>
            <a:ext uri="{FF2B5EF4-FFF2-40B4-BE49-F238E27FC236}">
              <a16:creationId xmlns:a16="http://schemas.microsoft.com/office/drawing/2014/main" id="{AC9E0B07-CCEA-4001-B254-D476EB45E4C9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6" name="Line 773">
          <a:extLst>
            <a:ext uri="{FF2B5EF4-FFF2-40B4-BE49-F238E27FC236}">
              <a16:creationId xmlns:a16="http://schemas.microsoft.com/office/drawing/2014/main" id="{B1D7CC30-EE23-4CBB-B02E-5B74FC14A6EB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7" name="Line 775">
          <a:extLst>
            <a:ext uri="{FF2B5EF4-FFF2-40B4-BE49-F238E27FC236}">
              <a16:creationId xmlns:a16="http://schemas.microsoft.com/office/drawing/2014/main" id="{9C7FA3BB-80C6-4811-BDA1-F632175A2C0A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8" name="Line 777">
          <a:extLst>
            <a:ext uri="{FF2B5EF4-FFF2-40B4-BE49-F238E27FC236}">
              <a16:creationId xmlns:a16="http://schemas.microsoft.com/office/drawing/2014/main" id="{8A29F6D5-9356-4F92-AA4A-B9846585E5A7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19" name="Line 779">
          <a:extLst>
            <a:ext uri="{FF2B5EF4-FFF2-40B4-BE49-F238E27FC236}">
              <a16:creationId xmlns:a16="http://schemas.microsoft.com/office/drawing/2014/main" id="{D46D248C-9F25-49F2-BC21-D73376B3ADF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0" name="Line 781">
          <a:extLst>
            <a:ext uri="{FF2B5EF4-FFF2-40B4-BE49-F238E27FC236}">
              <a16:creationId xmlns:a16="http://schemas.microsoft.com/office/drawing/2014/main" id="{C3C5E915-091E-481A-8E5B-140CBFFC7743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1" name="Line 783">
          <a:extLst>
            <a:ext uri="{FF2B5EF4-FFF2-40B4-BE49-F238E27FC236}">
              <a16:creationId xmlns:a16="http://schemas.microsoft.com/office/drawing/2014/main" id="{DA7FF075-4BB5-4A78-BE6B-E9A9F578663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2" name="Line 785">
          <a:extLst>
            <a:ext uri="{FF2B5EF4-FFF2-40B4-BE49-F238E27FC236}">
              <a16:creationId xmlns:a16="http://schemas.microsoft.com/office/drawing/2014/main" id="{EC5205FD-4034-41DC-AA1B-6A60DC46DAD4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3" name="Line 787">
          <a:extLst>
            <a:ext uri="{FF2B5EF4-FFF2-40B4-BE49-F238E27FC236}">
              <a16:creationId xmlns:a16="http://schemas.microsoft.com/office/drawing/2014/main" id="{B60CDA74-E5A0-4EC3-9FDD-807CBC4FD8B2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4" name="Line 789">
          <a:extLst>
            <a:ext uri="{FF2B5EF4-FFF2-40B4-BE49-F238E27FC236}">
              <a16:creationId xmlns:a16="http://schemas.microsoft.com/office/drawing/2014/main" id="{2E139958-407E-4B8F-A607-0DA24662CDC5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189</xdr:row>
      <xdr:rowOff>0</xdr:rowOff>
    </xdr:from>
    <xdr:to>
      <xdr:col>14</xdr:col>
      <xdr:colOff>0</xdr:colOff>
      <xdr:row>189</xdr:row>
      <xdr:rowOff>0</xdr:rowOff>
    </xdr:to>
    <xdr:sp macro="" textlink="">
      <xdr:nvSpPr>
        <xdr:cNvPr id="825" name="Line 791">
          <a:extLst>
            <a:ext uri="{FF2B5EF4-FFF2-40B4-BE49-F238E27FC236}">
              <a16:creationId xmlns:a16="http://schemas.microsoft.com/office/drawing/2014/main" id="{D46BD4D7-C983-4D97-A451-9E6D83735662}"/>
            </a:ext>
          </a:extLst>
        </xdr:cNvPr>
        <xdr:cNvSpPr>
          <a:spLocks noChangeShapeType="1"/>
        </xdr:cNvSpPr>
      </xdr:nvSpPr>
      <xdr:spPr bwMode="auto">
        <a:xfrm>
          <a:off x="4400550" y="32404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826" name="Line 41">
          <a:extLst>
            <a:ext uri="{FF2B5EF4-FFF2-40B4-BE49-F238E27FC236}">
              <a16:creationId xmlns:a16="http://schemas.microsoft.com/office/drawing/2014/main" id="{BFE7EC83-2F77-4330-8F5F-8E45B136412C}"/>
            </a:ext>
          </a:extLst>
        </xdr:cNvPr>
        <xdr:cNvSpPr>
          <a:spLocks noChangeShapeType="1"/>
        </xdr:cNvSpPr>
      </xdr:nvSpPr>
      <xdr:spPr bwMode="auto">
        <a:xfrm>
          <a:off x="440055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193</xdr:row>
      <xdr:rowOff>104775</xdr:rowOff>
    </xdr:from>
    <xdr:to>
      <xdr:col>14</xdr:col>
      <xdr:colOff>0</xdr:colOff>
      <xdr:row>194</xdr:row>
      <xdr:rowOff>57150</xdr:rowOff>
    </xdr:to>
    <xdr:sp macro="" textlink="">
      <xdr:nvSpPr>
        <xdr:cNvPr id="827" name="Line 743">
          <a:extLst>
            <a:ext uri="{FF2B5EF4-FFF2-40B4-BE49-F238E27FC236}">
              <a16:creationId xmlns:a16="http://schemas.microsoft.com/office/drawing/2014/main" id="{515E017F-3A58-48C6-A752-4589C9CF6C6B}"/>
            </a:ext>
          </a:extLst>
        </xdr:cNvPr>
        <xdr:cNvSpPr>
          <a:spLocks noChangeShapeType="1"/>
        </xdr:cNvSpPr>
      </xdr:nvSpPr>
      <xdr:spPr bwMode="auto">
        <a:xfrm>
          <a:off x="4400550" y="331946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28" name="Line 43">
          <a:extLst>
            <a:ext uri="{FF2B5EF4-FFF2-40B4-BE49-F238E27FC236}">
              <a16:creationId xmlns:a16="http://schemas.microsoft.com/office/drawing/2014/main" id="{BAEECA4E-75B7-4A6B-9E40-F67C5E1D93EC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29" name="Line 45">
          <a:extLst>
            <a:ext uri="{FF2B5EF4-FFF2-40B4-BE49-F238E27FC236}">
              <a16:creationId xmlns:a16="http://schemas.microsoft.com/office/drawing/2014/main" id="{3C180D0B-9C1F-41D7-85BE-73F37EF6CE6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0" name="Line 47">
          <a:extLst>
            <a:ext uri="{FF2B5EF4-FFF2-40B4-BE49-F238E27FC236}">
              <a16:creationId xmlns:a16="http://schemas.microsoft.com/office/drawing/2014/main" id="{D62C1181-CE54-4B99-A4C1-03C3A23D2E2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1" name="Line 49">
          <a:extLst>
            <a:ext uri="{FF2B5EF4-FFF2-40B4-BE49-F238E27FC236}">
              <a16:creationId xmlns:a16="http://schemas.microsoft.com/office/drawing/2014/main" id="{03768619-4767-41A7-B1D8-80615FF16EB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2" name="Line 51">
          <a:extLst>
            <a:ext uri="{FF2B5EF4-FFF2-40B4-BE49-F238E27FC236}">
              <a16:creationId xmlns:a16="http://schemas.microsoft.com/office/drawing/2014/main" id="{DDFF495B-A4A8-4C3F-B7B3-17F36F0A4FF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3" name="Line 53">
          <a:extLst>
            <a:ext uri="{FF2B5EF4-FFF2-40B4-BE49-F238E27FC236}">
              <a16:creationId xmlns:a16="http://schemas.microsoft.com/office/drawing/2014/main" id="{4691121C-7058-4F89-ABBE-A7FA31116156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4" name="Line 55">
          <a:extLst>
            <a:ext uri="{FF2B5EF4-FFF2-40B4-BE49-F238E27FC236}">
              <a16:creationId xmlns:a16="http://schemas.microsoft.com/office/drawing/2014/main" id="{E5848BC7-9B00-43CC-BCEA-F28B058778D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5" name="Line 57">
          <a:extLst>
            <a:ext uri="{FF2B5EF4-FFF2-40B4-BE49-F238E27FC236}">
              <a16:creationId xmlns:a16="http://schemas.microsoft.com/office/drawing/2014/main" id="{6E4EF899-7855-448C-9817-C61A9CF81A81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6" name="Line 59">
          <a:extLst>
            <a:ext uri="{FF2B5EF4-FFF2-40B4-BE49-F238E27FC236}">
              <a16:creationId xmlns:a16="http://schemas.microsoft.com/office/drawing/2014/main" id="{787DD933-8D25-4CC9-B864-C4A16D9D9C3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7" name="Line 61">
          <a:extLst>
            <a:ext uri="{FF2B5EF4-FFF2-40B4-BE49-F238E27FC236}">
              <a16:creationId xmlns:a16="http://schemas.microsoft.com/office/drawing/2014/main" id="{FF64F4AF-6493-4AC4-AAE2-6DD95E4EBAD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8" name="Line 63">
          <a:extLst>
            <a:ext uri="{FF2B5EF4-FFF2-40B4-BE49-F238E27FC236}">
              <a16:creationId xmlns:a16="http://schemas.microsoft.com/office/drawing/2014/main" id="{F5E3A1A8-996C-4CF1-A0CA-95C71556EB4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39" name="Line 65">
          <a:extLst>
            <a:ext uri="{FF2B5EF4-FFF2-40B4-BE49-F238E27FC236}">
              <a16:creationId xmlns:a16="http://schemas.microsoft.com/office/drawing/2014/main" id="{F8646424-F50D-4B2B-91C9-021E8CA0C120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0" name="Line 67">
          <a:extLst>
            <a:ext uri="{FF2B5EF4-FFF2-40B4-BE49-F238E27FC236}">
              <a16:creationId xmlns:a16="http://schemas.microsoft.com/office/drawing/2014/main" id="{0D3A234A-17DD-4F46-8D9C-9CAD64A5AAA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1" name="Line 69">
          <a:extLst>
            <a:ext uri="{FF2B5EF4-FFF2-40B4-BE49-F238E27FC236}">
              <a16:creationId xmlns:a16="http://schemas.microsoft.com/office/drawing/2014/main" id="{6E520B87-524E-42F2-8553-21E8E9AD033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2" name="Line 71">
          <a:extLst>
            <a:ext uri="{FF2B5EF4-FFF2-40B4-BE49-F238E27FC236}">
              <a16:creationId xmlns:a16="http://schemas.microsoft.com/office/drawing/2014/main" id="{1BE0B572-F163-4484-8A2A-B39BF88D287C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3" name="Line 73">
          <a:extLst>
            <a:ext uri="{FF2B5EF4-FFF2-40B4-BE49-F238E27FC236}">
              <a16:creationId xmlns:a16="http://schemas.microsoft.com/office/drawing/2014/main" id="{B2B23F25-D08B-49A0-B885-A2BFD7626AF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4" name="Line 75">
          <a:extLst>
            <a:ext uri="{FF2B5EF4-FFF2-40B4-BE49-F238E27FC236}">
              <a16:creationId xmlns:a16="http://schemas.microsoft.com/office/drawing/2014/main" id="{71E1298B-9011-4FB8-9660-0DD9056D0920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5" name="Line 77">
          <a:extLst>
            <a:ext uri="{FF2B5EF4-FFF2-40B4-BE49-F238E27FC236}">
              <a16:creationId xmlns:a16="http://schemas.microsoft.com/office/drawing/2014/main" id="{8AF0FC72-3836-4025-9E82-50DA7EF57FE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6" name="Line 79">
          <a:extLst>
            <a:ext uri="{FF2B5EF4-FFF2-40B4-BE49-F238E27FC236}">
              <a16:creationId xmlns:a16="http://schemas.microsoft.com/office/drawing/2014/main" id="{28499D86-D4DB-4266-9FF6-0615ABE5CD71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7" name="Line 81">
          <a:extLst>
            <a:ext uri="{FF2B5EF4-FFF2-40B4-BE49-F238E27FC236}">
              <a16:creationId xmlns:a16="http://schemas.microsoft.com/office/drawing/2014/main" id="{E52E59B6-38B4-4283-937A-8689D374493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8" name="Line 83">
          <a:extLst>
            <a:ext uri="{FF2B5EF4-FFF2-40B4-BE49-F238E27FC236}">
              <a16:creationId xmlns:a16="http://schemas.microsoft.com/office/drawing/2014/main" id="{BC694057-A691-45DE-897C-CA03CC37EEAC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49" name="Line 85">
          <a:extLst>
            <a:ext uri="{FF2B5EF4-FFF2-40B4-BE49-F238E27FC236}">
              <a16:creationId xmlns:a16="http://schemas.microsoft.com/office/drawing/2014/main" id="{C24B4018-3090-4D29-9D1E-3773997DA66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0" name="Line 87">
          <a:extLst>
            <a:ext uri="{FF2B5EF4-FFF2-40B4-BE49-F238E27FC236}">
              <a16:creationId xmlns:a16="http://schemas.microsoft.com/office/drawing/2014/main" id="{9FAFDDDD-6518-4215-B802-FE40EBD9964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1" name="Line 89">
          <a:extLst>
            <a:ext uri="{FF2B5EF4-FFF2-40B4-BE49-F238E27FC236}">
              <a16:creationId xmlns:a16="http://schemas.microsoft.com/office/drawing/2014/main" id="{19D951C0-6AC0-4308-86B0-35A83BD37F84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2" name="Line 745">
          <a:extLst>
            <a:ext uri="{FF2B5EF4-FFF2-40B4-BE49-F238E27FC236}">
              <a16:creationId xmlns:a16="http://schemas.microsoft.com/office/drawing/2014/main" id="{0E3869FB-A0AE-4BCB-BAD0-E5DF93A1183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3" name="Line 747">
          <a:extLst>
            <a:ext uri="{FF2B5EF4-FFF2-40B4-BE49-F238E27FC236}">
              <a16:creationId xmlns:a16="http://schemas.microsoft.com/office/drawing/2014/main" id="{FA676426-06C9-4940-834D-3EE4F39CB17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4" name="Line 749">
          <a:extLst>
            <a:ext uri="{FF2B5EF4-FFF2-40B4-BE49-F238E27FC236}">
              <a16:creationId xmlns:a16="http://schemas.microsoft.com/office/drawing/2014/main" id="{A7B52AA1-502E-45F9-8C5F-B5F862C9277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5" name="Line 751">
          <a:extLst>
            <a:ext uri="{FF2B5EF4-FFF2-40B4-BE49-F238E27FC236}">
              <a16:creationId xmlns:a16="http://schemas.microsoft.com/office/drawing/2014/main" id="{1C0CF600-2463-4B89-9636-164F510CA6C9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6" name="Line 753">
          <a:extLst>
            <a:ext uri="{FF2B5EF4-FFF2-40B4-BE49-F238E27FC236}">
              <a16:creationId xmlns:a16="http://schemas.microsoft.com/office/drawing/2014/main" id="{0F55BC34-7F71-4C16-A798-32913482F5A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7" name="Line 755">
          <a:extLst>
            <a:ext uri="{FF2B5EF4-FFF2-40B4-BE49-F238E27FC236}">
              <a16:creationId xmlns:a16="http://schemas.microsoft.com/office/drawing/2014/main" id="{CC182A4E-412B-4D68-B2F6-76653967BA02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8" name="Line 757">
          <a:extLst>
            <a:ext uri="{FF2B5EF4-FFF2-40B4-BE49-F238E27FC236}">
              <a16:creationId xmlns:a16="http://schemas.microsoft.com/office/drawing/2014/main" id="{355EF1E1-D964-465F-94E6-437C6A5F118F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59" name="Line 759">
          <a:extLst>
            <a:ext uri="{FF2B5EF4-FFF2-40B4-BE49-F238E27FC236}">
              <a16:creationId xmlns:a16="http://schemas.microsoft.com/office/drawing/2014/main" id="{AC7F1EA1-7C7A-4A9B-B153-A3D65F54C48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0" name="Line 761">
          <a:extLst>
            <a:ext uri="{FF2B5EF4-FFF2-40B4-BE49-F238E27FC236}">
              <a16:creationId xmlns:a16="http://schemas.microsoft.com/office/drawing/2014/main" id="{0AB6452B-B95F-41DE-ACE0-3747BD6BEEF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1" name="Line 763">
          <a:extLst>
            <a:ext uri="{FF2B5EF4-FFF2-40B4-BE49-F238E27FC236}">
              <a16:creationId xmlns:a16="http://schemas.microsoft.com/office/drawing/2014/main" id="{992CB956-5D42-42DF-BF2B-9384A156C50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2" name="Line 765">
          <a:extLst>
            <a:ext uri="{FF2B5EF4-FFF2-40B4-BE49-F238E27FC236}">
              <a16:creationId xmlns:a16="http://schemas.microsoft.com/office/drawing/2014/main" id="{F4C1526E-6FC3-4396-AD60-98F37930AF8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3" name="Line 767">
          <a:extLst>
            <a:ext uri="{FF2B5EF4-FFF2-40B4-BE49-F238E27FC236}">
              <a16:creationId xmlns:a16="http://schemas.microsoft.com/office/drawing/2014/main" id="{CD93938E-9B35-441F-A787-F11DF14F40A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4" name="Line 769">
          <a:extLst>
            <a:ext uri="{FF2B5EF4-FFF2-40B4-BE49-F238E27FC236}">
              <a16:creationId xmlns:a16="http://schemas.microsoft.com/office/drawing/2014/main" id="{2AD618F5-727F-4A7B-BDE1-D3761574BF43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5" name="Line 771">
          <a:extLst>
            <a:ext uri="{FF2B5EF4-FFF2-40B4-BE49-F238E27FC236}">
              <a16:creationId xmlns:a16="http://schemas.microsoft.com/office/drawing/2014/main" id="{398AAD79-D2C0-4D65-B006-9F83C321E96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6" name="Line 773">
          <a:extLst>
            <a:ext uri="{FF2B5EF4-FFF2-40B4-BE49-F238E27FC236}">
              <a16:creationId xmlns:a16="http://schemas.microsoft.com/office/drawing/2014/main" id="{E2BC857E-63AF-4C43-9EB3-583650FC0FA1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7" name="Line 775">
          <a:extLst>
            <a:ext uri="{FF2B5EF4-FFF2-40B4-BE49-F238E27FC236}">
              <a16:creationId xmlns:a16="http://schemas.microsoft.com/office/drawing/2014/main" id="{1FE738FE-E78C-4677-8184-9FD8D624107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8" name="Line 777">
          <a:extLst>
            <a:ext uri="{FF2B5EF4-FFF2-40B4-BE49-F238E27FC236}">
              <a16:creationId xmlns:a16="http://schemas.microsoft.com/office/drawing/2014/main" id="{9261714B-59F3-4C15-AB81-7BBE272D1AD8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69" name="Line 779">
          <a:extLst>
            <a:ext uri="{FF2B5EF4-FFF2-40B4-BE49-F238E27FC236}">
              <a16:creationId xmlns:a16="http://schemas.microsoft.com/office/drawing/2014/main" id="{3A78F6A3-C12D-40FF-9DB5-AF1F4FB92467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0" name="Line 781">
          <a:extLst>
            <a:ext uri="{FF2B5EF4-FFF2-40B4-BE49-F238E27FC236}">
              <a16:creationId xmlns:a16="http://schemas.microsoft.com/office/drawing/2014/main" id="{D46FB3B2-7635-4032-A761-7CEB734F3E50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1" name="Line 783">
          <a:extLst>
            <a:ext uri="{FF2B5EF4-FFF2-40B4-BE49-F238E27FC236}">
              <a16:creationId xmlns:a16="http://schemas.microsoft.com/office/drawing/2014/main" id="{C65BBCD6-CDBD-4B67-9762-3369DABBD65B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2" name="Line 785">
          <a:extLst>
            <a:ext uri="{FF2B5EF4-FFF2-40B4-BE49-F238E27FC236}">
              <a16:creationId xmlns:a16="http://schemas.microsoft.com/office/drawing/2014/main" id="{BBE21F9A-A149-4F37-82F9-687B09DC74F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3" name="Line 787">
          <a:extLst>
            <a:ext uri="{FF2B5EF4-FFF2-40B4-BE49-F238E27FC236}">
              <a16:creationId xmlns:a16="http://schemas.microsoft.com/office/drawing/2014/main" id="{3DCC3F9B-8320-4383-91F7-AF49498142CA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4" name="Line 789">
          <a:extLst>
            <a:ext uri="{FF2B5EF4-FFF2-40B4-BE49-F238E27FC236}">
              <a16:creationId xmlns:a16="http://schemas.microsoft.com/office/drawing/2014/main" id="{C7FFBA2C-5BA3-4976-8997-109D87CFB9BD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227</xdr:row>
      <xdr:rowOff>0</xdr:rowOff>
    </xdr:from>
    <xdr:to>
      <xdr:col>14</xdr:col>
      <xdr:colOff>0</xdr:colOff>
      <xdr:row>227</xdr:row>
      <xdr:rowOff>0</xdr:rowOff>
    </xdr:to>
    <xdr:sp macro="" textlink="">
      <xdr:nvSpPr>
        <xdr:cNvPr id="875" name="Line 791">
          <a:extLst>
            <a:ext uri="{FF2B5EF4-FFF2-40B4-BE49-F238E27FC236}">
              <a16:creationId xmlns:a16="http://schemas.microsoft.com/office/drawing/2014/main" id="{C34B8E30-A8D9-4923-84A8-54C9369D5265}"/>
            </a:ext>
          </a:extLst>
        </xdr:cNvPr>
        <xdr:cNvSpPr>
          <a:spLocks noChangeShapeType="1"/>
        </xdr:cNvSpPr>
      </xdr:nvSpPr>
      <xdr:spPr bwMode="auto">
        <a:xfrm>
          <a:off x="4400550" y="389191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876" name="Line 41">
          <a:extLst>
            <a:ext uri="{FF2B5EF4-FFF2-40B4-BE49-F238E27FC236}">
              <a16:creationId xmlns:a16="http://schemas.microsoft.com/office/drawing/2014/main" id="{F35E0D07-7AB3-4845-819B-CE7C2444F69A}"/>
            </a:ext>
          </a:extLst>
        </xdr:cNvPr>
        <xdr:cNvSpPr>
          <a:spLocks noChangeShapeType="1"/>
        </xdr:cNvSpPr>
      </xdr:nvSpPr>
      <xdr:spPr bwMode="auto">
        <a:xfrm>
          <a:off x="440055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231</xdr:row>
      <xdr:rowOff>104775</xdr:rowOff>
    </xdr:from>
    <xdr:to>
      <xdr:col>14</xdr:col>
      <xdr:colOff>0</xdr:colOff>
      <xdr:row>232</xdr:row>
      <xdr:rowOff>57150</xdr:rowOff>
    </xdr:to>
    <xdr:sp macro="" textlink="">
      <xdr:nvSpPr>
        <xdr:cNvPr id="877" name="Line 743">
          <a:extLst>
            <a:ext uri="{FF2B5EF4-FFF2-40B4-BE49-F238E27FC236}">
              <a16:creationId xmlns:a16="http://schemas.microsoft.com/office/drawing/2014/main" id="{18622000-2B20-4F86-8BD8-3A8193FE413D}"/>
            </a:ext>
          </a:extLst>
        </xdr:cNvPr>
        <xdr:cNvSpPr>
          <a:spLocks noChangeShapeType="1"/>
        </xdr:cNvSpPr>
      </xdr:nvSpPr>
      <xdr:spPr bwMode="auto">
        <a:xfrm>
          <a:off x="4400550" y="397097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78" name="Line 43">
          <a:extLst>
            <a:ext uri="{FF2B5EF4-FFF2-40B4-BE49-F238E27FC236}">
              <a16:creationId xmlns:a16="http://schemas.microsoft.com/office/drawing/2014/main" id="{E123C136-84D7-4551-A1E6-0809C06F6087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79" name="Line 45">
          <a:extLst>
            <a:ext uri="{FF2B5EF4-FFF2-40B4-BE49-F238E27FC236}">
              <a16:creationId xmlns:a16="http://schemas.microsoft.com/office/drawing/2014/main" id="{03CD0AE4-5DE1-41C8-8FFB-32364FC456C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0" name="Line 47">
          <a:extLst>
            <a:ext uri="{FF2B5EF4-FFF2-40B4-BE49-F238E27FC236}">
              <a16:creationId xmlns:a16="http://schemas.microsoft.com/office/drawing/2014/main" id="{0BD6859C-0318-46AB-8C8D-84C89C426B9E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1" name="Line 49">
          <a:extLst>
            <a:ext uri="{FF2B5EF4-FFF2-40B4-BE49-F238E27FC236}">
              <a16:creationId xmlns:a16="http://schemas.microsoft.com/office/drawing/2014/main" id="{4767A6DC-1F3A-4338-A976-CB36975B33F0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2" name="Line 51">
          <a:extLst>
            <a:ext uri="{FF2B5EF4-FFF2-40B4-BE49-F238E27FC236}">
              <a16:creationId xmlns:a16="http://schemas.microsoft.com/office/drawing/2014/main" id="{5DB7DB08-178F-44A2-A773-DAA3CC30E4E0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3" name="Line 53">
          <a:extLst>
            <a:ext uri="{FF2B5EF4-FFF2-40B4-BE49-F238E27FC236}">
              <a16:creationId xmlns:a16="http://schemas.microsoft.com/office/drawing/2014/main" id="{2217309C-9864-44E2-AC46-40886E40BD5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4" name="Line 55">
          <a:extLst>
            <a:ext uri="{FF2B5EF4-FFF2-40B4-BE49-F238E27FC236}">
              <a16:creationId xmlns:a16="http://schemas.microsoft.com/office/drawing/2014/main" id="{FBFA6666-ADE4-458F-A54B-E26EA5113B9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5" name="Line 57">
          <a:extLst>
            <a:ext uri="{FF2B5EF4-FFF2-40B4-BE49-F238E27FC236}">
              <a16:creationId xmlns:a16="http://schemas.microsoft.com/office/drawing/2014/main" id="{5FA20844-A718-49AB-97E1-2D9432C9450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6" name="Line 59">
          <a:extLst>
            <a:ext uri="{FF2B5EF4-FFF2-40B4-BE49-F238E27FC236}">
              <a16:creationId xmlns:a16="http://schemas.microsoft.com/office/drawing/2014/main" id="{6B019BB1-D098-425F-81FF-6FC2AE5D49A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7" name="Line 61">
          <a:extLst>
            <a:ext uri="{FF2B5EF4-FFF2-40B4-BE49-F238E27FC236}">
              <a16:creationId xmlns:a16="http://schemas.microsoft.com/office/drawing/2014/main" id="{A2C15911-803D-4D7D-9C2E-6464677B012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8" name="Line 63">
          <a:extLst>
            <a:ext uri="{FF2B5EF4-FFF2-40B4-BE49-F238E27FC236}">
              <a16:creationId xmlns:a16="http://schemas.microsoft.com/office/drawing/2014/main" id="{9F696DA3-85E4-4019-913A-15094220C8EE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89" name="Line 65">
          <a:extLst>
            <a:ext uri="{FF2B5EF4-FFF2-40B4-BE49-F238E27FC236}">
              <a16:creationId xmlns:a16="http://schemas.microsoft.com/office/drawing/2014/main" id="{47BE36F1-BBE9-4502-8936-C003B2D418B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0" name="Line 67">
          <a:extLst>
            <a:ext uri="{FF2B5EF4-FFF2-40B4-BE49-F238E27FC236}">
              <a16:creationId xmlns:a16="http://schemas.microsoft.com/office/drawing/2014/main" id="{3F8F93D5-7F1E-451D-9E71-408BEACFD7C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1" name="Line 69">
          <a:extLst>
            <a:ext uri="{FF2B5EF4-FFF2-40B4-BE49-F238E27FC236}">
              <a16:creationId xmlns:a16="http://schemas.microsoft.com/office/drawing/2014/main" id="{1029F9D7-C50E-4B63-B0BE-D9F6CA4CABE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2" name="Line 71">
          <a:extLst>
            <a:ext uri="{FF2B5EF4-FFF2-40B4-BE49-F238E27FC236}">
              <a16:creationId xmlns:a16="http://schemas.microsoft.com/office/drawing/2014/main" id="{A47B1818-79BC-455E-9AA3-B3D55E61EAD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3" name="Line 73">
          <a:extLst>
            <a:ext uri="{FF2B5EF4-FFF2-40B4-BE49-F238E27FC236}">
              <a16:creationId xmlns:a16="http://schemas.microsoft.com/office/drawing/2014/main" id="{068B299B-D354-4450-BE1C-09457C10657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4" name="Line 75">
          <a:extLst>
            <a:ext uri="{FF2B5EF4-FFF2-40B4-BE49-F238E27FC236}">
              <a16:creationId xmlns:a16="http://schemas.microsoft.com/office/drawing/2014/main" id="{86B998D9-17A9-450E-9056-EFF81B3C1AE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5" name="Line 77">
          <a:extLst>
            <a:ext uri="{FF2B5EF4-FFF2-40B4-BE49-F238E27FC236}">
              <a16:creationId xmlns:a16="http://schemas.microsoft.com/office/drawing/2014/main" id="{400401CA-D287-4CB5-A721-402851E86B1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6" name="Line 79">
          <a:extLst>
            <a:ext uri="{FF2B5EF4-FFF2-40B4-BE49-F238E27FC236}">
              <a16:creationId xmlns:a16="http://schemas.microsoft.com/office/drawing/2014/main" id="{8AA0CBB4-7EAA-4B00-B0E6-6DA83BAB9F6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7" name="Line 81">
          <a:extLst>
            <a:ext uri="{FF2B5EF4-FFF2-40B4-BE49-F238E27FC236}">
              <a16:creationId xmlns:a16="http://schemas.microsoft.com/office/drawing/2014/main" id="{7DFE3384-6BC7-441E-955E-1B7E73E055C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8" name="Line 83">
          <a:extLst>
            <a:ext uri="{FF2B5EF4-FFF2-40B4-BE49-F238E27FC236}">
              <a16:creationId xmlns:a16="http://schemas.microsoft.com/office/drawing/2014/main" id="{E7B13FFA-4FF3-4087-A57A-6C3C0939350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899" name="Line 85">
          <a:extLst>
            <a:ext uri="{FF2B5EF4-FFF2-40B4-BE49-F238E27FC236}">
              <a16:creationId xmlns:a16="http://schemas.microsoft.com/office/drawing/2014/main" id="{63C1B698-B3FB-4518-8E43-1832CFBCEA7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0" name="Line 87">
          <a:extLst>
            <a:ext uri="{FF2B5EF4-FFF2-40B4-BE49-F238E27FC236}">
              <a16:creationId xmlns:a16="http://schemas.microsoft.com/office/drawing/2014/main" id="{B1A61008-BACE-485B-A337-BEDC9AF3E73E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1" name="Line 89">
          <a:extLst>
            <a:ext uri="{FF2B5EF4-FFF2-40B4-BE49-F238E27FC236}">
              <a16:creationId xmlns:a16="http://schemas.microsoft.com/office/drawing/2014/main" id="{DC8869F1-3FED-46AF-BAA8-A5F43B5BE7F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2" name="Line 745">
          <a:extLst>
            <a:ext uri="{FF2B5EF4-FFF2-40B4-BE49-F238E27FC236}">
              <a16:creationId xmlns:a16="http://schemas.microsoft.com/office/drawing/2014/main" id="{A3FB54F2-C772-435D-AEF8-B2920111BD3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3" name="Line 747">
          <a:extLst>
            <a:ext uri="{FF2B5EF4-FFF2-40B4-BE49-F238E27FC236}">
              <a16:creationId xmlns:a16="http://schemas.microsoft.com/office/drawing/2014/main" id="{513D6B27-0CFA-4892-84A1-24F4471F1234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4" name="Line 749">
          <a:extLst>
            <a:ext uri="{FF2B5EF4-FFF2-40B4-BE49-F238E27FC236}">
              <a16:creationId xmlns:a16="http://schemas.microsoft.com/office/drawing/2014/main" id="{C8A5AC3E-259D-42CE-911C-C69B8AAD6786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5" name="Line 751">
          <a:extLst>
            <a:ext uri="{FF2B5EF4-FFF2-40B4-BE49-F238E27FC236}">
              <a16:creationId xmlns:a16="http://schemas.microsoft.com/office/drawing/2014/main" id="{80357FFC-7A8C-4206-830F-C565CE4B423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6" name="Line 753">
          <a:extLst>
            <a:ext uri="{FF2B5EF4-FFF2-40B4-BE49-F238E27FC236}">
              <a16:creationId xmlns:a16="http://schemas.microsoft.com/office/drawing/2014/main" id="{EA3C405C-62B5-4DEF-BA65-855DE18C5A34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7" name="Line 755">
          <a:extLst>
            <a:ext uri="{FF2B5EF4-FFF2-40B4-BE49-F238E27FC236}">
              <a16:creationId xmlns:a16="http://schemas.microsoft.com/office/drawing/2014/main" id="{9E6D55DE-CB68-47A3-86BE-CCF09C05C6C5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8" name="Line 757">
          <a:extLst>
            <a:ext uri="{FF2B5EF4-FFF2-40B4-BE49-F238E27FC236}">
              <a16:creationId xmlns:a16="http://schemas.microsoft.com/office/drawing/2014/main" id="{3631C832-823A-4D01-AE0A-3E5209320893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09" name="Line 759">
          <a:extLst>
            <a:ext uri="{FF2B5EF4-FFF2-40B4-BE49-F238E27FC236}">
              <a16:creationId xmlns:a16="http://schemas.microsoft.com/office/drawing/2014/main" id="{9F4E4161-6727-4C67-9EB0-4371FC3F6B3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0" name="Line 761">
          <a:extLst>
            <a:ext uri="{FF2B5EF4-FFF2-40B4-BE49-F238E27FC236}">
              <a16:creationId xmlns:a16="http://schemas.microsoft.com/office/drawing/2014/main" id="{06BDE485-7BD3-4169-A490-FA02FA711D98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1" name="Line 763">
          <a:extLst>
            <a:ext uri="{FF2B5EF4-FFF2-40B4-BE49-F238E27FC236}">
              <a16:creationId xmlns:a16="http://schemas.microsoft.com/office/drawing/2014/main" id="{6F72B34B-B94C-4674-8D3F-A1E2EFAA1792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2" name="Line 765">
          <a:extLst>
            <a:ext uri="{FF2B5EF4-FFF2-40B4-BE49-F238E27FC236}">
              <a16:creationId xmlns:a16="http://schemas.microsoft.com/office/drawing/2014/main" id="{B892C315-F5FA-45BD-B133-3527D5DE4E03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3" name="Line 767">
          <a:extLst>
            <a:ext uri="{FF2B5EF4-FFF2-40B4-BE49-F238E27FC236}">
              <a16:creationId xmlns:a16="http://schemas.microsoft.com/office/drawing/2014/main" id="{1353DF00-98EA-4A12-9A1B-87997E9E2B7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4" name="Line 769">
          <a:extLst>
            <a:ext uri="{FF2B5EF4-FFF2-40B4-BE49-F238E27FC236}">
              <a16:creationId xmlns:a16="http://schemas.microsoft.com/office/drawing/2014/main" id="{CFF22245-6D3D-4301-94F2-D886BD52874C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5" name="Line 771">
          <a:extLst>
            <a:ext uri="{FF2B5EF4-FFF2-40B4-BE49-F238E27FC236}">
              <a16:creationId xmlns:a16="http://schemas.microsoft.com/office/drawing/2014/main" id="{F9DE3F0E-3562-49CE-A3BA-C93F7638F84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6" name="Line 773">
          <a:extLst>
            <a:ext uri="{FF2B5EF4-FFF2-40B4-BE49-F238E27FC236}">
              <a16:creationId xmlns:a16="http://schemas.microsoft.com/office/drawing/2014/main" id="{26ADF8A5-80C4-4373-A9FE-234042D368BA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7" name="Line 775">
          <a:extLst>
            <a:ext uri="{FF2B5EF4-FFF2-40B4-BE49-F238E27FC236}">
              <a16:creationId xmlns:a16="http://schemas.microsoft.com/office/drawing/2014/main" id="{925465C9-F4D8-4B26-A4F2-405886AAD71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8" name="Line 777">
          <a:extLst>
            <a:ext uri="{FF2B5EF4-FFF2-40B4-BE49-F238E27FC236}">
              <a16:creationId xmlns:a16="http://schemas.microsoft.com/office/drawing/2014/main" id="{F79D580D-C3CC-4ACA-820D-DE3A8E95BEB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19" name="Line 779">
          <a:extLst>
            <a:ext uri="{FF2B5EF4-FFF2-40B4-BE49-F238E27FC236}">
              <a16:creationId xmlns:a16="http://schemas.microsoft.com/office/drawing/2014/main" id="{2D20D976-9533-4153-AE83-EE693EBDB7B3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0" name="Line 781">
          <a:extLst>
            <a:ext uri="{FF2B5EF4-FFF2-40B4-BE49-F238E27FC236}">
              <a16:creationId xmlns:a16="http://schemas.microsoft.com/office/drawing/2014/main" id="{00C6141F-96F6-45DE-8CC4-2217159A23F9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1" name="Line 783">
          <a:extLst>
            <a:ext uri="{FF2B5EF4-FFF2-40B4-BE49-F238E27FC236}">
              <a16:creationId xmlns:a16="http://schemas.microsoft.com/office/drawing/2014/main" id="{84CCCDCA-CACB-4F20-AF2D-4FD7E2A00060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2" name="Line 785">
          <a:extLst>
            <a:ext uri="{FF2B5EF4-FFF2-40B4-BE49-F238E27FC236}">
              <a16:creationId xmlns:a16="http://schemas.microsoft.com/office/drawing/2014/main" id="{C8D872E0-EC28-4DAD-8D8B-A6BB2ED9FCB3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3" name="Line 787">
          <a:extLst>
            <a:ext uri="{FF2B5EF4-FFF2-40B4-BE49-F238E27FC236}">
              <a16:creationId xmlns:a16="http://schemas.microsoft.com/office/drawing/2014/main" id="{C5963072-1A65-4003-84D8-47C75926D2F7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4" name="Line 789">
          <a:extLst>
            <a:ext uri="{FF2B5EF4-FFF2-40B4-BE49-F238E27FC236}">
              <a16:creationId xmlns:a16="http://schemas.microsoft.com/office/drawing/2014/main" id="{84C0F657-4DC2-40C7-A107-93F13A7A9621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265</xdr:row>
      <xdr:rowOff>0</xdr:rowOff>
    </xdr:from>
    <xdr:to>
      <xdr:col>14</xdr:col>
      <xdr:colOff>0</xdr:colOff>
      <xdr:row>265</xdr:row>
      <xdr:rowOff>0</xdr:rowOff>
    </xdr:to>
    <xdr:sp macro="" textlink="">
      <xdr:nvSpPr>
        <xdr:cNvPr id="925" name="Line 791">
          <a:extLst>
            <a:ext uri="{FF2B5EF4-FFF2-40B4-BE49-F238E27FC236}">
              <a16:creationId xmlns:a16="http://schemas.microsoft.com/office/drawing/2014/main" id="{F50D76B7-0623-49D8-A6A9-3532A7BB8E6D}"/>
            </a:ext>
          </a:extLst>
        </xdr:cNvPr>
        <xdr:cNvSpPr>
          <a:spLocks noChangeShapeType="1"/>
        </xdr:cNvSpPr>
      </xdr:nvSpPr>
      <xdr:spPr bwMode="auto">
        <a:xfrm>
          <a:off x="4400550" y="454342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926" name="Line 41">
          <a:extLst>
            <a:ext uri="{FF2B5EF4-FFF2-40B4-BE49-F238E27FC236}">
              <a16:creationId xmlns:a16="http://schemas.microsoft.com/office/drawing/2014/main" id="{7DC4B440-CBEA-4022-8366-B09C38527E9E}"/>
            </a:ext>
          </a:extLst>
        </xdr:cNvPr>
        <xdr:cNvSpPr>
          <a:spLocks noChangeShapeType="1"/>
        </xdr:cNvSpPr>
      </xdr:nvSpPr>
      <xdr:spPr bwMode="auto">
        <a:xfrm>
          <a:off x="440055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269</xdr:row>
      <xdr:rowOff>104775</xdr:rowOff>
    </xdr:from>
    <xdr:to>
      <xdr:col>14</xdr:col>
      <xdr:colOff>0</xdr:colOff>
      <xdr:row>270</xdr:row>
      <xdr:rowOff>57150</xdr:rowOff>
    </xdr:to>
    <xdr:sp macro="" textlink="">
      <xdr:nvSpPr>
        <xdr:cNvPr id="927" name="Line 743">
          <a:extLst>
            <a:ext uri="{FF2B5EF4-FFF2-40B4-BE49-F238E27FC236}">
              <a16:creationId xmlns:a16="http://schemas.microsoft.com/office/drawing/2014/main" id="{25AC0686-46D7-4D7E-AB7F-253672866EF4}"/>
            </a:ext>
          </a:extLst>
        </xdr:cNvPr>
        <xdr:cNvSpPr>
          <a:spLocks noChangeShapeType="1"/>
        </xdr:cNvSpPr>
      </xdr:nvSpPr>
      <xdr:spPr bwMode="auto">
        <a:xfrm>
          <a:off x="4400550" y="462248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28" name="Line 43">
          <a:extLst>
            <a:ext uri="{FF2B5EF4-FFF2-40B4-BE49-F238E27FC236}">
              <a16:creationId xmlns:a16="http://schemas.microsoft.com/office/drawing/2014/main" id="{042BC7CD-E34E-45EB-A889-A45EC66118CE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29" name="Line 45">
          <a:extLst>
            <a:ext uri="{FF2B5EF4-FFF2-40B4-BE49-F238E27FC236}">
              <a16:creationId xmlns:a16="http://schemas.microsoft.com/office/drawing/2014/main" id="{3AB5A693-2928-4A73-B158-D6D2E0C471D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0" name="Line 47">
          <a:extLst>
            <a:ext uri="{FF2B5EF4-FFF2-40B4-BE49-F238E27FC236}">
              <a16:creationId xmlns:a16="http://schemas.microsoft.com/office/drawing/2014/main" id="{319CC0EF-20A1-4521-8539-2E1FA808846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1" name="Line 49">
          <a:extLst>
            <a:ext uri="{FF2B5EF4-FFF2-40B4-BE49-F238E27FC236}">
              <a16:creationId xmlns:a16="http://schemas.microsoft.com/office/drawing/2014/main" id="{AEC3B032-55C1-4428-AB34-654149622B8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2" name="Line 51">
          <a:extLst>
            <a:ext uri="{FF2B5EF4-FFF2-40B4-BE49-F238E27FC236}">
              <a16:creationId xmlns:a16="http://schemas.microsoft.com/office/drawing/2014/main" id="{E862B850-CB72-4433-B2B4-C23E5BD030F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3" name="Line 53">
          <a:extLst>
            <a:ext uri="{FF2B5EF4-FFF2-40B4-BE49-F238E27FC236}">
              <a16:creationId xmlns:a16="http://schemas.microsoft.com/office/drawing/2014/main" id="{FE39AE11-FFDF-4426-BD49-68E4EEA2CDE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4" name="Line 55">
          <a:extLst>
            <a:ext uri="{FF2B5EF4-FFF2-40B4-BE49-F238E27FC236}">
              <a16:creationId xmlns:a16="http://schemas.microsoft.com/office/drawing/2014/main" id="{C155AA0C-135A-4B55-AE47-BC7584EDBF83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5" name="Line 57">
          <a:extLst>
            <a:ext uri="{FF2B5EF4-FFF2-40B4-BE49-F238E27FC236}">
              <a16:creationId xmlns:a16="http://schemas.microsoft.com/office/drawing/2014/main" id="{FC0381D1-6DBF-4410-A695-7BE7C39CC713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6" name="Line 59">
          <a:extLst>
            <a:ext uri="{FF2B5EF4-FFF2-40B4-BE49-F238E27FC236}">
              <a16:creationId xmlns:a16="http://schemas.microsoft.com/office/drawing/2014/main" id="{9E9D625D-4065-4DE7-9B9D-5F331E32A11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7" name="Line 61">
          <a:extLst>
            <a:ext uri="{FF2B5EF4-FFF2-40B4-BE49-F238E27FC236}">
              <a16:creationId xmlns:a16="http://schemas.microsoft.com/office/drawing/2014/main" id="{115B81EA-7379-46D4-8B9D-FE81CF41BC8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8" name="Line 63">
          <a:extLst>
            <a:ext uri="{FF2B5EF4-FFF2-40B4-BE49-F238E27FC236}">
              <a16:creationId xmlns:a16="http://schemas.microsoft.com/office/drawing/2014/main" id="{257011E2-F385-4575-83F7-EF7729B2131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39" name="Line 65">
          <a:extLst>
            <a:ext uri="{FF2B5EF4-FFF2-40B4-BE49-F238E27FC236}">
              <a16:creationId xmlns:a16="http://schemas.microsoft.com/office/drawing/2014/main" id="{4F192047-B910-4F52-911E-E9291A1B8E8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0" name="Line 67">
          <a:extLst>
            <a:ext uri="{FF2B5EF4-FFF2-40B4-BE49-F238E27FC236}">
              <a16:creationId xmlns:a16="http://schemas.microsoft.com/office/drawing/2014/main" id="{A31CCDFD-99E1-487E-9D46-79E12D24CF16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1" name="Line 69">
          <a:extLst>
            <a:ext uri="{FF2B5EF4-FFF2-40B4-BE49-F238E27FC236}">
              <a16:creationId xmlns:a16="http://schemas.microsoft.com/office/drawing/2014/main" id="{C589BCDE-DCE1-4A5B-8059-C56263A8A02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2" name="Line 71">
          <a:extLst>
            <a:ext uri="{FF2B5EF4-FFF2-40B4-BE49-F238E27FC236}">
              <a16:creationId xmlns:a16="http://schemas.microsoft.com/office/drawing/2014/main" id="{B1183FC8-F7F8-406D-ACF2-763A5428284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3" name="Line 73">
          <a:extLst>
            <a:ext uri="{FF2B5EF4-FFF2-40B4-BE49-F238E27FC236}">
              <a16:creationId xmlns:a16="http://schemas.microsoft.com/office/drawing/2014/main" id="{5B53B9D4-E0E8-4A86-8BF8-6B3CFA46E98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4" name="Line 75">
          <a:extLst>
            <a:ext uri="{FF2B5EF4-FFF2-40B4-BE49-F238E27FC236}">
              <a16:creationId xmlns:a16="http://schemas.microsoft.com/office/drawing/2014/main" id="{941B0ACA-2FD5-4D0F-93B6-3B29A720A37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5" name="Line 77">
          <a:extLst>
            <a:ext uri="{FF2B5EF4-FFF2-40B4-BE49-F238E27FC236}">
              <a16:creationId xmlns:a16="http://schemas.microsoft.com/office/drawing/2014/main" id="{A0A69CF5-570B-4C5D-A196-7A20B5CD84B4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6" name="Line 79">
          <a:extLst>
            <a:ext uri="{FF2B5EF4-FFF2-40B4-BE49-F238E27FC236}">
              <a16:creationId xmlns:a16="http://schemas.microsoft.com/office/drawing/2014/main" id="{C623F878-147D-4AB6-9670-5BA9B4C07B0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7" name="Line 81">
          <a:extLst>
            <a:ext uri="{FF2B5EF4-FFF2-40B4-BE49-F238E27FC236}">
              <a16:creationId xmlns:a16="http://schemas.microsoft.com/office/drawing/2014/main" id="{88B7BC3E-5BC3-475E-A645-4CC53226E6F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8" name="Line 83">
          <a:extLst>
            <a:ext uri="{FF2B5EF4-FFF2-40B4-BE49-F238E27FC236}">
              <a16:creationId xmlns:a16="http://schemas.microsoft.com/office/drawing/2014/main" id="{F293A88A-0B41-452D-99BE-F93D7D023B7E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49" name="Line 85">
          <a:extLst>
            <a:ext uri="{FF2B5EF4-FFF2-40B4-BE49-F238E27FC236}">
              <a16:creationId xmlns:a16="http://schemas.microsoft.com/office/drawing/2014/main" id="{35DDF5E6-4F72-4787-B6F7-8495805C4C91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0" name="Line 87">
          <a:extLst>
            <a:ext uri="{FF2B5EF4-FFF2-40B4-BE49-F238E27FC236}">
              <a16:creationId xmlns:a16="http://schemas.microsoft.com/office/drawing/2014/main" id="{9C3BECF1-B645-4FFE-87DF-013164F7E51B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1" name="Line 89">
          <a:extLst>
            <a:ext uri="{FF2B5EF4-FFF2-40B4-BE49-F238E27FC236}">
              <a16:creationId xmlns:a16="http://schemas.microsoft.com/office/drawing/2014/main" id="{8D07F688-135A-4CAE-9632-331D551FFF0E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2" name="Line 745">
          <a:extLst>
            <a:ext uri="{FF2B5EF4-FFF2-40B4-BE49-F238E27FC236}">
              <a16:creationId xmlns:a16="http://schemas.microsoft.com/office/drawing/2014/main" id="{304BB8B0-9B7C-4AFD-A97D-259FA2E62FC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3" name="Line 747">
          <a:extLst>
            <a:ext uri="{FF2B5EF4-FFF2-40B4-BE49-F238E27FC236}">
              <a16:creationId xmlns:a16="http://schemas.microsoft.com/office/drawing/2014/main" id="{876030E1-6C59-4A50-BE29-B704D36C160D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4" name="Line 749">
          <a:extLst>
            <a:ext uri="{FF2B5EF4-FFF2-40B4-BE49-F238E27FC236}">
              <a16:creationId xmlns:a16="http://schemas.microsoft.com/office/drawing/2014/main" id="{9AD48326-F558-447F-8E4D-BB41380E2CF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5" name="Line 751">
          <a:extLst>
            <a:ext uri="{FF2B5EF4-FFF2-40B4-BE49-F238E27FC236}">
              <a16:creationId xmlns:a16="http://schemas.microsoft.com/office/drawing/2014/main" id="{43C1B4EA-BCB3-40EC-B2AC-E3AC51F4BEFC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6" name="Line 753">
          <a:extLst>
            <a:ext uri="{FF2B5EF4-FFF2-40B4-BE49-F238E27FC236}">
              <a16:creationId xmlns:a16="http://schemas.microsoft.com/office/drawing/2014/main" id="{300D3A51-DD90-4D4C-A810-D01D728450F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7" name="Line 755">
          <a:extLst>
            <a:ext uri="{FF2B5EF4-FFF2-40B4-BE49-F238E27FC236}">
              <a16:creationId xmlns:a16="http://schemas.microsoft.com/office/drawing/2014/main" id="{F6E189C6-6A07-4B5D-A78D-4229635521D7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8" name="Line 757">
          <a:extLst>
            <a:ext uri="{FF2B5EF4-FFF2-40B4-BE49-F238E27FC236}">
              <a16:creationId xmlns:a16="http://schemas.microsoft.com/office/drawing/2014/main" id="{29C5AA38-36B2-43E8-932C-A9A67FC5C89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59" name="Line 759">
          <a:extLst>
            <a:ext uri="{FF2B5EF4-FFF2-40B4-BE49-F238E27FC236}">
              <a16:creationId xmlns:a16="http://schemas.microsoft.com/office/drawing/2014/main" id="{0D1B74F6-1C7A-4532-923C-E20EBEBBE80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0" name="Line 761">
          <a:extLst>
            <a:ext uri="{FF2B5EF4-FFF2-40B4-BE49-F238E27FC236}">
              <a16:creationId xmlns:a16="http://schemas.microsoft.com/office/drawing/2014/main" id="{DC1B0759-0FCE-4AC4-AC66-CBA2BCDCE9E4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1" name="Line 763">
          <a:extLst>
            <a:ext uri="{FF2B5EF4-FFF2-40B4-BE49-F238E27FC236}">
              <a16:creationId xmlns:a16="http://schemas.microsoft.com/office/drawing/2014/main" id="{6D66B9D9-EE17-4EF7-BDD2-821758772D93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2" name="Line 765">
          <a:extLst>
            <a:ext uri="{FF2B5EF4-FFF2-40B4-BE49-F238E27FC236}">
              <a16:creationId xmlns:a16="http://schemas.microsoft.com/office/drawing/2014/main" id="{E9DB0875-CD22-4CAB-B562-34701C767A72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3" name="Line 767">
          <a:extLst>
            <a:ext uri="{FF2B5EF4-FFF2-40B4-BE49-F238E27FC236}">
              <a16:creationId xmlns:a16="http://schemas.microsoft.com/office/drawing/2014/main" id="{11D6A76B-37BD-4D86-9B6D-5A42581D220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4" name="Line 769">
          <a:extLst>
            <a:ext uri="{FF2B5EF4-FFF2-40B4-BE49-F238E27FC236}">
              <a16:creationId xmlns:a16="http://schemas.microsoft.com/office/drawing/2014/main" id="{07325915-CF5B-4F0D-A471-C6F7DD044019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5" name="Line 771">
          <a:extLst>
            <a:ext uri="{FF2B5EF4-FFF2-40B4-BE49-F238E27FC236}">
              <a16:creationId xmlns:a16="http://schemas.microsoft.com/office/drawing/2014/main" id="{F9018C48-D249-4613-AAA4-8FDDE50B97D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6" name="Line 773">
          <a:extLst>
            <a:ext uri="{FF2B5EF4-FFF2-40B4-BE49-F238E27FC236}">
              <a16:creationId xmlns:a16="http://schemas.microsoft.com/office/drawing/2014/main" id="{0CBFF094-3D44-4BD1-8745-F4083D6B1989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7" name="Line 775">
          <a:extLst>
            <a:ext uri="{FF2B5EF4-FFF2-40B4-BE49-F238E27FC236}">
              <a16:creationId xmlns:a16="http://schemas.microsoft.com/office/drawing/2014/main" id="{8117D47E-C0A2-42A6-BAB0-491ABF5F1A45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8" name="Line 777">
          <a:extLst>
            <a:ext uri="{FF2B5EF4-FFF2-40B4-BE49-F238E27FC236}">
              <a16:creationId xmlns:a16="http://schemas.microsoft.com/office/drawing/2014/main" id="{8140B2D2-55DD-4AF1-9B55-C3EB50A52CB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69" name="Line 779">
          <a:extLst>
            <a:ext uri="{FF2B5EF4-FFF2-40B4-BE49-F238E27FC236}">
              <a16:creationId xmlns:a16="http://schemas.microsoft.com/office/drawing/2014/main" id="{A40DDD1C-9552-49FE-9777-CFD7302EF1F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0" name="Line 781">
          <a:extLst>
            <a:ext uri="{FF2B5EF4-FFF2-40B4-BE49-F238E27FC236}">
              <a16:creationId xmlns:a16="http://schemas.microsoft.com/office/drawing/2014/main" id="{0F79AA58-C3DD-4745-9343-8E9C22B5887A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1" name="Line 783">
          <a:extLst>
            <a:ext uri="{FF2B5EF4-FFF2-40B4-BE49-F238E27FC236}">
              <a16:creationId xmlns:a16="http://schemas.microsoft.com/office/drawing/2014/main" id="{C803E49A-FB53-4433-9D9A-3F7270AA84A0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2" name="Line 785">
          <a:extLst>
            <a:ext uri="{FF2B5EF4-FFF2-40B4-BE49-F238E27FC236}">
              <a16:creationId xmlns:a16="http://schemas.microsoft.com/office/drawing/2014/main" id="{D1431F43-B816-4249-BFC9-14EBFB4220A9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3" name="Line 787">
          <a:extLst>
            <a:ext uri="{FF2B5EF4-FFF2-40B4-BE49-F238E27FC236}">
              <a16:creationId xmlns:a16="http://schemas.microsoft.com/office/drawing/2014/main" id="{AF4C84A4-BE24-4BE0-89F0-27E0C4796168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4" name="Line 789">
          <a:extLst>
            <a:ext uri="{FF2B5EF4-FFF2-40B4-BE49-F238E27FC236}">
              <a16:creationId xmlns:a16="http://schemas.microsoft.com/office/drawing/2014/main" id="{6EA8CFB9-BDD2-4325-A729-1081BEFCD86D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303</xdr:row>
      <xdr:rowOff>0</xdr:rowOff>
    </xdr:from>
    <xdr:to>
      <xdr:col>14</xdr:col>
      <xdr:colOff>0</xdr:colOff>
      <xdr:row>303</xdr:row>
      <xdr:rowOff>0</xdr:rowOff>
    </xdr:to>
    <xdr:sp macro="" textlink="">
      <xdr:nvSpPr>
        <xdr:cNvPr id="975" name="Line 791">
          <a:extLst>
            <a:ext uri="{FF2B5EF4-FFF2-40B4-BE49-F238E27FC236}">
              <a16:creationId xmlns:a16="http://schemas.microsoft.com/office/drawing/2014/main" id="{305266DB-3C04-4F34-8187-2296CB26E6EF}"/>
            </a:ext>
          </a:extLst>
        </xdr:cNvPr>
        <xdr:cNvSpPr>
          <a:spLocks noChangeShapeType="1"/>
        </xdr:cNvSpPr>
      </xdr:nvSpPr>
      <xdr:spPr bwMode="auto">
        <a:xfrm>
          <a:off x="4400550" y="519493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976" name="Line 41">
          <a:extLst>
            <a:ext uri="{FF2B5EF4-FFF2-40B4-BE49-F238E27FC236}">
              <a16:creationId xmlns:a16="http://schemas.microsoft.com/office/drawing/2014/main" id="{6975FB22-9CC2-423B-B264-850BD3ABF34D}"/>
            </a:ext>
          </a:extLst>
        </xdr:cNvPr>
        <xdr:cNvSpPr>
          <a:spLocks noChangeShapeType="1"/>
        </xdr:cNvSpPr>
      </xdr:nvSpPr>
      <xdr:spPr bwMode="auto">
        <a:xfrm>
          <a:off x="440055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307</xdr:row>
      <xdr:rowOff>104775</xdr:rowOff>
    </xdr:from>
    <xdr:to>
      <xdr:col>14</xdr:col>
      <xdr:colOff>0</xdr:colOff>
      <xdr:row>308</xdr:row>
      <xdr:rowOff>57150</xdr:rowOff>
    </xdr:to>
    <xdr:sp macro="" textlink="">
      <xdr:nvSpPr>
        <xdr:cNvPr id="977" name="Line 743">
          <a:extLst>
            <a:ext uri="{FF2B5EF4-FFF2-40B4-BE49-F238E27FC236}">
              <a16:creationId xmlns:a16="http://schemas.microsoft.com/office/drawing/2014/main" id="{B8260C14-9AB4-4709-9227-6AB47D0B7295}"/>
            </a:ext>
          </a:extLst>
        </xdr:cNvPr>
        <xdr:cNvSpPr>
          <a:spLocks noChangeShapeType="1"/>
        </xdr:cNvSpPr>
      </xdr:nvSpPr>
      <xdr:spPr bwMode="auto">
        <a:xfrm>
          <a:off x="4400550" y="527399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78" name="Line 43">
          <a:extLst>
            <a:ext uri="{FF2B5EF4-FFF2-40B4-BE49-F238E27FC236}">
              <a16:creationId xmlns:a16="http://schemas.microsoft.com/office/drawing/2014/main" id="{6324B5E4-FFC2-423D-BC98-AFAC93399A9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79" name="Line 45">
          <a:extLst>
            <a:ext uri="{FF2B5EF4-FFF2-40B4-BE49-F238E27FC236}">
              <a16:creationId xmlns:a16="http://schemas.microsoft.com/office/drawing/2014/main" id="{3263600C-62F5-4E86-991D-E57C50572E28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0" name="Line 47">
          <a:extLst>
            <a:ext uri="{FF2B5EF4-FFF2-40B4-BE49-F238E27FC236}">
              <a16:creationId xmlns:a16="http://schemas.microsoft.com/office/drawing/2014/main" id="{0652D9E9-0EFB-418C-B13F-1E7003AB7AB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1" name="Line 49">
          <a:extLst>
            <a:ext uri="{FF2B5EF4-FFF2-40B4-BE49-F238E27FC236}">
              <a16:creationId xmlns:a16="http://schemas.microsoft.com/office/drawing/2014/main" id="{EC345E8C-C163-4395-B22E-9FA33F19ABB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2" name="Line 51">
          <a:extLst>
            <a:ext uri="{FF2B5EF4-FFF2-40B4-BE49-F238E27FC236}">
              <a16:creationId xmlns:a16="http://schemas.microsoft.com/office/drawing/2014/main" id="{B89E5E31-8026-47A0-92D0-C46B3C7DAA4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3" name="Line 53">
          <a:extLst>
            <a:ext uri="{FF2B5EF4-FFF2-40B4-BE49-F238E27FC236}">
              <a16:creationId xmlns:a16="http://schemas.microsoft.com/office/drawing/2014/main" id="{A2D01327-5BA2-462C-9471-8E24F8108A3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4" name="Line 55">
          <a:extLst>
            <a:ext uri="{FF2B5EF4-FFF2-40B4-BE49-F238E27FC236}">
              <a16:creationId xmlns:a16="http://schemas.microsoft.com/office/drawing/2014/main" id="{D092548F-23D2-4AD7-9DD5-9FE2C795760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5" name="Line 57">
          <a:extLst>
            <a:ext uri="{FF2B5EF4-FFF2-40B4-BE49-F238E27FC236}">
              <a16:creationId xmlns:a16="http://schemas.microsoft.com/office/drawing/2014/main" id="{5A948B65-DBDF-497C-A976-BCE169C725C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6" name="Line 59">
          <a:extLst>
            <a:ext uri="{FF2B5EF4-FFF2-40B4-BE49-F238E27FC236}">
              <a16:creationId xmlns:a16="http://schemas.microsoft.com/office/drawing/2014/main" id="{CAE8AFA3-AAC2-4948-96E5-35E9F76EBB28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7" name="Line 61">
          <a:extLst>
            <a:ext uri="{FF2B5EF4-FFF2-40B4-BE49-F238E27FC236}">
              <a16:creationId xmlns:a16="http://schemas.microsoft.com/office/drawing/2014/main" id="{26913B3D-3CA5-4B43-891C-714A1D68733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8" name="Line 63">
          <a:extLst>
            <a:ext uri="{FF2B5EF4-FFF2-40B4-BE49-F238E27FC236}">
              <a16:creationId xmlns:a16="http://schemas.microsoft.com/office/drawing/2014/main" id="{BC35EE57-0EA1-44A1-AF84-521733EF7570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89" name="Line 65">
          <a:extLst>
            <a:ext uri="{FF2B5EF4-FFF2-40B4-BE49-F238E27FC236}">
              <a16:creationId xmlns:a16="http://schemas.microsoft.com/office/drawing/2014/main" id="{D2A59780-D7DD-4866-878F-1D1158122288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0" name="Line 67">
          <a:extLst>
            <a:ext uri="{FF2B5EF4-FFF2-40B4-BE49-F238E27FC236}">
              <a16:creationId xmlns:a16="http://schemas.microsoft.com/office/drawing/2014/main" id="{3236A15E-7409-4AED-AACF-16B24A96DA5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1" name="Line 69">
          <a:extLst>
            <a:ext uri="{FF2B5EF4-FFF2-40B4-BE49-F238E27FC236}">
              <a16:creationId xmlns:a16="http://schemas.microsoft.com/office/drawing/2014/main" id="{FCE51A51-B593-48ED-ADAF-F25C3A69732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2" name="Line 71">
          <a:extLst>
            <a:ext uri="{FF2B5EF4-FFF2-40B4-BE49-F238E27FC236}">
              <a16:creationId xmlns:a16="http://schemas.microsoft.com/office/drawing/2014/main" id="{A79BB32C-0F54-4617-AE29-609AA43C6BC0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3" name="Line 73">
          <a:extLst>
            <a:ext uri="{FF2B5EF4-FFF2-40B4-BE49-F238E27FC236}">
              <a16:creationId xmlns:a16="http://schemas.microsoft.com/office/drawing/2014/main" id="{E462D60D-7742-43DC-8571-B838C0168CC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4" name="Line 75">
          <a:extLst>
            <a:ext uri="{FF2B5EF4-FFF2-40B4-BE49-F238E27FC236}">
              <a16:creationId xmlns:a16="http://schemas.microsoft.com/office/drawing/2014/main" id="{4555F401-3361-474B-870B-7A307AD9718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5" name="Line 77">
          <a:extLst>
            <a:ext uri="{FF2B5EF4-FFF2-40B4-BE49-F238E27FC236}">
              <a16:creationId xmlns:a16="http://schemas.microsoft.com/office/drawing/2014/main" id="{2A5F7B09-0AC9-4FB2-A538-B9AD451DD61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6" name="Line 79">
          <a:extLst>
            <a:ext uri="{FF2B5EF4-FFF2-40B4-BE49-F238E27FC236}">
              <a16:creationId xmlns:a16="http://schemas.microsoft.com/office/drawing/2014/main" id="{DF22F615-441F-40ED-BBE9-32A2076C68D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7" name="Line 81">
          <a:extLst>
            <a:ext uri="{FF2B5EF4-FFF2-40B4-BE49-F238E27FC236}">
              <a16:creationId xmlns:a16="http://schemas.microsoft.com/office/drawing/2014/main" id="{581D3C3C-F7E0-49C3-AC63-454A8835D93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8" name="Line 83">
          <a:extLst>
            <a:ext uri="{FF2B5EF4-FFF2-40B4-BE49-F238E27FC236}">
              <a16:creationId xmlns:a16="http://schemas.microsoft.com/office/drawing/2014/main" id="{B1186056-D55E-4C80-A864-BCAB647513D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999" name="Line 85">
          <a:extLst>
            <a:ext uri="{FF2B5EF4-FFF2-40B4-BE49-F238E27FC236}">
              <a16:creationId xmlns:a16="http://schemas.microsoft.com/office/drawing/2014/main" id="{0A006A18-137B-4470-BC6A-FB27A563C81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0" name="Line 87">
          <a:extLst>
            <a:ext uri="{FF2B5EF4-FFF2-40B4-BE49-F238E27FC236}">
              <a16:creationId xmlns:a16="http://schemas.microsoft.com/office/drawing/2014/main" id="{2FDCA342-4561-46F8-B010-D52DD6F59C8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1" name="Line 89">
          <a:extLst>
            <a:ext uri="{FF2B5EF4-FFF2-40B4-BE49-F238E27FC236}">
              <a16:creationId xmlns:a16="http://schemas.microsoft.com/office/drawing/2014/main" id="{41716D40-3EF6-45A2-91AD-A6044E9B9E9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2" name="Line 745">
          <a:extLst>
            <a:ext uri="{FF2B5EF4-FFF2-40B4-BE49-F238E27FC236}">
              <a16:creationId xmlns:a16="http://schemas.microsoft.com/office/drawing/2014/main" id="{F9ABDC6E-E5BD-48BC-8485-9EFD8922D75E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3" name="Line 747">
          <a:extLst>
            <a:ext uri="{FF2B5EF4-FFF2-40B4-BE49-F238E27FC236}">
              <a16:creationId xmlns:a16="http://schemas.microsoft.com/office/drawing/2014/main" id="{ECE0FC97-585F-4263-8AD8-BC22374D0C0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4" name="Line 749">
          <a:extLst>
            <a:ext uri="{FF2B5EF4-FFF2-40B4-BE49-F238E27FC236}">
              <a16:creationId xmlns:a16="http://schemas.microsoft.com/office/drawing/2014/main" id="{1B15A914-8BE1-44BF-A00A-082B990038C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5" name="Line 751">
          <a:extLst>
            <a:ext uri="{FF2B5EF4-FFF2-40B4-BE49-F238E27FC236}">
              <a16:creationId xmlns:a16="http://schemas.microsoft.com/office/drawing/2014/main" id="{BED8F8AF-0985-4BE7-A2ED-0A37CA266E1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6" name="Line 753">
          <a:extLst>
            <a:ext uri="{FF2B5EF4-FFF2-40B4-BE49-F238E27FC236}">
              <a16:creationId xmlns:a16="http://schemas.microsoft.com/office/drawing/2014/main" id="{C66E9D11-6DE0-49EF-A6F5-AD18C2A5C8E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7" name="Line 755">
          <a:extLst>
            <a:ext uri="{FF2B5EF4-FFF2-40B4-BE49-F238E27FC236}">
              <a16:creationId xmlns:a16="http://schemas.microsoft.com/office/drawing/2014/main" id="{FC50D815-09AD-43E4-9F82-96CFE8BD7BB8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8" name="Line 757">
          <a:extLst>
            <a:ext uri="{FF2B5EF4-FFF2-40B4-BE49-F238E27FC236}">
              <a16:creationId xmlns:a16="http://schemas.microsoft.com/office/drawing/2014/main" id="{71BCC475-5C57-4913-B198-D85A92789569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09" name="Line 759">
          <a:extLst>
            <a:ext uri="{FF2B5EF4-FFF2-40B4-BE49-F238E27FC236}">
              <a16:creationId xmlns:a16="http://schemas.microsoft.com/office/drawing/2014/main" id="{B75B05FC-46BD-40C1-A248-20B1A8A4F925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0" name="Line 761">
          <a:extLst>
            <a:ext uri="{FF2B5EF4-FFF2-40B4-BE49-F238E27FC236}">
              <a16:creationId xmlns:a16="http://schemas.microsoft.com/office/drawing/2014/main" id="{099A1E9D-49F6-4F38-AE99-55FFF7625D8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1" name="Line 763">
          <a:extLst>
            <a:ext uri="{FF2B5EF4-FFF2-40B4-BE49-F238E27FC236}">
              <a16:creationId xmlns:a16="http://schemas.microsoft.com/office/drawing/2014/main" id="{4BE43521-1842-47EC-9956-F756EA24BFE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2" name="Line 765">
          <a:extLst>
            <a:ext uri="{FF2B5EF4-FFF2-40B4-BE49-F238E27FC236}">
              <a16:creationId xmlns:a16="http://schemas.microsoft.com/office/drawing/2014/main" id="{C8729E4B-A5F3-4DB0-8F5F-9BBC42D8B45D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3" name="Line 767">
          <a:extLst>
            <a:ext uri="{FF2B5EF4-FFF2-40B4-BE49-F238E27FC236}">
              <a16:creationId xmlns:a16="http://schemas.microsoft.com/office/drawing/2014/main" id="{6B346717-4051-45A0-8175-BD6D7A634C77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4" name="Line 769">
          <a:extLst>
            <a:ext uri="{FF2B5EF4-FFF2-40B4-BE49-F238E27FC236}">
              <a16:creationId xmlns:a16="http://schemas.microsoft.com/office/drawing/2014/main" id="{E105E388-B2AC-432F-975F-277E4C4DA1F6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5" name="Line 771">
          <a:extLst>
            <a:ext uri="{FF2B5EF4-FFF2-40B4-BE49-F238E27FC236}">
              <a16:creationId xmlns:a16="http://schemas.microsoft.com/office/drawing/2014/main" id="{15CBCF21-8B02-4CA9-8039-0591F6E4677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6" name="Line 773">
          <a:extLst>
            <a:ext uri="{FF2B5EF4-FFF2-40B4-BE49-F238E27FC236}">
              <a16:creationId xmlns:a16="http://schemas.microsoft.com/office/drawing/2014/main" id="{71121A8A-73B5-47DF-ADA4-578E1ECE0AE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7" name="Line 775">
          <a:extLst>
            <a:ext uri="{FF2B5EF4-FFF2-40B4-BE49-F238E27FC236}">
              <a16:creationId xmlns:a16="http://schemas.microsoft.com/office/drawing/2014/main" id="{579DB243-CEA8-41EB-A817-00A18154A91B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8" name="Line 777">
          <a:extLst>
            <a:ext uri="{FF2B5EF4-FFF2-40B4-BE49-F238E27FC236}">
              <a16:creationId xmlns:a16="http://schemas.microsoft.com/office/drawing/2014/main" id="{9E6C68EF-9244-4D0F-82E3-FDBE27C473DA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19" name="Line 779">
          <a:extLst>
            <a:ext uri="{FF2B5EF4-FFF2-40B4-BE49-F238E27FC236}">
              <a16:creationId xmlns:a16="http://schemas.microsoft.com/office/drawing/2014/main" id="{CB3E1BD0-0A35-498F-A453-88199B4943B3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0" name="Line 781">
          <a:extLst>
            <a:ext uri="{FF2B5EF4-FFF2-40B4-BE49-F238E27FC236}">
              <a16:creationId xmlns:a16="http://schemas.microsoft.com/office/drawing/2014/main" id="{4A6A51AA-8F2F-4C69-A481-BB9C486E76D2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1" name="Line 783">
          <a:extLst>
            <a:ext uri="{FF2B5EF4-FFF2-40B4-BE49-F238E27FC236}">
              <a16:creationId xmlns:a16="http://schemas.microsoft.com/office/drawing/2014/main" id="{4ED4516D-B440-4CAA-BA34-B065FEC54A94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2" name="Line 785">
          <a:extLst>
            <a:ext uri="{FF2B5EF4-FFF2-40B4-BE49-F238E27FC236}">
              <a16:creationId xmlns:a16="http://schemas.microsoft.com/office/drawing/2014/main" id="{125A06C9-DE5C-4C17-8C9E-BD1158850AB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3" name="Line 787">
          <a:extLst>
            <a:ext uri="{FF2B5EF4-FFF2-40B4-BE49-F238E27FC236}">
              <a16:creationId xmlns:a16="http://schemas.microsoft.com/office/drawing/2014/main" id="{D981B0D7-2BE9-4057-8212-B7336294034D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4" name="Line 789">
          <a:extLst>
            <a:ext uri="{FF2B5EF4-FFF2-40B4-BE49-F238E27FC236}">
              <a16:creationId xmlns:a16="http://schemas.microsoft.com/office/drawing/2014/main" id="{B9FEA237-EC0C-470C-A8F6-76BFB598CD0F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341</xdr:row>
      <xdr:rowOff>0</xdr:rowOff>
    </xdr:from>
    <xdr:to>
      <xdr:col>14</xdr:col>
      <xdr:colOff>0</xdr:colOff>
      <xdr:row>341</xdr:row>
      <xdr:rowOff>0</xdr:rowOff>
    </xdr:to>
    <xdr:sp macro="" textlink="">
      <xdr:nvSpPr>
        <xdr:cNvPr id="1025" name="Line 791">
          <a:extLst>
            <a:ext uri="{FF2B5EF4-FFF2-40B4-BE49-F238E27FC236}">
              <a16:creationId xmlns:a16="http://schemas.microsoft.com/office/drawing/2014/main" id="{66FA5EB3-A0EC-4562-AFF6-C117C26F49FC}"/>
            </a:ext>
          </a:extLst>
        </xdr:cNvPr>
        <xdr:cNvSpPr>
          <a:spLocks noChangeShapeType="1"/>
        </xdr:cNvSpPr>
      </xdr:nvSpPr>
      <xdr:spPr bwMode="auto">
        <a:xfrm>
          <a:off x="4400550" y="584644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026" name="Line 41">
          <a:extLst>
            <a:ext uri="{FF2B5EF4-FFF2-40B4-BE49-F238E27FC236}">
              <a16:creationId xmlns:a16="http://schemas.microsoft.com/office/drawing/2014/main" id="{16562EF6-7644-4209-80A2-773E387BDFDD}"/>
            </a:ext>
          </a:extLst>
        </xdr:cNvPr>
        <xdr:cNvSpPr>
          <a:spLocks noChangeShapeType="1"/>
        </xdr:cNvSpPr>
      </xdr:nvSpPr>
      <xdr:spPr bwMode="auto">
        <a:xfrm>
          <a:off x="440055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345</xdr:row>
      <xdr:rowOff>104775</xdr:rowOff>
    </xdr:from>
    <xdr:to>
      <xdr:col>14</xdr:col>
      <xdr:colOff>0</xdr:colOff>
      <xdr:row>346</xdr:row>
      <xdr:rowOff>57150</xdr:rowOff>
    </xdr:to>
    <xdr:sp macro="" textlink="">
      <xdr:nvSpPr>
        <xdr:cNvPr id="1027" name="Line 743">
          <a:extLst>
            <a:ext uri="{FF2B5EF4-FFF2-40B4-BE49-F238E27FC236}">
              <a16:creationId xmlns:a16="http://schemas.microsoft.com/office/drawing/2014/main" id="{F939A216-E74B-4C8C-84EE-A7DA06F62A26}"/>
            </a:ext>
          </a:extLst>
        </xdr:cNvPr>
        <xdr:cNvSpPr>
          <a:spLocks noChangeShapeType="1"/>
        </xdr:cNvSpPr>
      </xdr:nvSpPr>
      <xdr:spPr bwMode="auto">
        <a:xfrm>
          <a:off x="4400550" y="592550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28" name="Line 43">
          <a:extLst>
            <a:ext uri="{FF2B5EF4-FFF2-40B4-BE49-F238E27FC236}">
              <a16:creationId xmlns:a16="http://schemas.microsoft.com/office/drawing/2014/main" id="{5F250DE0-96BD-4785-8695-ECC20A92FC7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29" name="Line 45">
          <a:extLst>
            <a:ext uri="{FF2B5EF4-FFF2-40B4-BE49-F238E27FC236}">
              <a16:creationId xmlns:a16="http://schemas.microsoft.com/office/drawing/2014/main" id="{5BA558E5-C47C-434D-859E-6A8AF9AFA4E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0" name="Line 47">
          <a:extLst>
            <a:ext uri="{FF2B5EF4-FFF2-40B4-BE49-F238E27FC236}">
              <a16:creationId xmlns:a16="http://schemas.microsoft.com/office/drawing/2014/main" id="{FE3BC147-169E-4CA9-978D-5AB9995B773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1" name="Line 49">
          <a:extLst>
            <a:ext uri="{FF2B5EF4-FFF2-40B4-BE49-F238E27FC236}">
              <a16:creationId xmlns:a16="http://schemas.microsoft.com/office/drawing/2014/main" id="{56DDB268-E624-4B72-9ECB-B7C8720634C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2" name="Line 51">
          <a:extLst>
            <a:ext uri="{FF2B5EF4-FFF2-40B4-BE49-F238E27FC236}">
              <a16:creationId xmlns:a16="http://schemas.microsoft.com/office/drawing/2014/main" id="{BE1C256C-690E-4AA6-9642-87641468BDA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3" name="Line 53">
          <a:extLst>
            <a:ext uri="{FF2B5EF4-FFF2-40B4-BE49-F238E27FC236}">
              <a16:creationId xmlns:a16="http://schemas.microsoft.com/office/drawing/2014/main" id="{1D473E39-B080-40EB-A6C1-AEE66C38CEC2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4" name="Line 55">
          <a:extLst>
            <a:ext uri="{FF2B5EF4-FFF2-40B4-BE49-F238E27FC236}">
              <a16:creationId xmlns:a16="http://schemas.microsoft.com/office/drawing/2014/main" id="{18E4461E-566B-4B32-93D1-FAE68C0F8E0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5" name="Line 57">
          <a:extLst>
            <a:ext uri="{FF2B5EF4-FFF2-40B4-BE49-F238E27FC236}">
              <a16:creationId xmlns:a16="http://schemas.microsoft.com/office/drawing/2014/main" id="{C6634C97-545B-4018-A055-567FCAD1CD6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6" name="Line 59">
          <a:extLst>
            <a:ext uri="{FF2B5EF4-FFF2-40B4-BE49-F238E27FC236}">
              <a16:creationId xmlns:a16="http://schemas.microsoft.com/office/drawing/2014/main" id="{30BF110D-3E9A-489F-B17B-078E3AE8116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7" name="Line 61">
          <a:extLst>
            <a:ext uri="{FF2B5EF4-FFF2-40B4-BE49-F238E27FC236}">
              <a16:creationId xmlns:a16="http://schemas.microsoft.com/office/drawing/2014/main" id="{252ED6CF-1BC7-4C12-ADF9-0B8A37338AB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8" name="Line 63">
          <a:extLst>
            <a:ext uri="{FF2B5EF4-FFF2-40B4-BE49-F238E27FC236}">
              <a16:creationId xmlns:a16="http://schemas.microsoft.com/office/drawing/2014/main" id="{6C7F6949-D28F-4526-8A7D-AE8D8DFFDF5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39" name="Line 65">
          <a:extLst>
            <a:ext uri="{FF2B5EF4-FFF2-40B4-BE49-F238E27FC236}">
              <a16:creationId xmlns:a16="http://schemas.microsoft.com/office/drawing/2014/main" id="{BBDF7594-E6C8-428D-9C12-76C0C774642D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0" name="Line 67">
          <a:extLst>
            <a:ext uri="{FF2B5EF4-FFF2-40B4-BE49-F238E27FC236}">
              <a16:creationId xmlns:a16="http://schemas.microsoft.com/office/drawing/2014/main" id="{3BFA3AE8-CB93-4F4D-8BE4-097E18947C1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1" name="Line 69">
          <a:extLst>
            <a:ext uri="{FF2B5EF4-FFF2-40B4-BE49-F238E27FC236}">
              <a16:creationId xmlns:a16="http://schemas.microsoft.com/office/drawing/2014/main" id="{70C8D440-7CAC-44C6-902A-88D839F3D8B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2" name="Line 71">
          <a:extLst>
            <a:ext uri="{FF2B5EF4-FFF2-40B4-BE49-F238E27FC236}">
              <a16:creationId xmlns:a16="http://schemas.microsoft.com/office/drawing/2014/main" id="{C694BAEC-4FBD-46C3-9D3D-A9232C1355B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3" name="Line 73">
          <a:extLst>
            <a:ext uri="{FF2B5EF4-FFF2-40B4-BE49-F238E27FC236}">
              <a16:creationId xmlns:a16="http://schemas.microsoft.com/office/drawing/2014/main" id="{EE605C54-E9A1-42C1-87C7-065C6C20E16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4" name="Line 75">
          <a:extLst>
            <a:ext uri="{FF2B5EF4-FFF2-40B4-BE49-F238E27FC236}">
              <a16:creationId xmlns:a16="http://schemas.microsoft.com/office/drawing/2014/main" id="{2BC8C106-6ACE-45DC-81F3-61171F5280C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5" name="Line 77">
          <a:extLst>
            <a:ext uri="{FF2B5EF4-FFF2-40B4-BE49-F238E27FC236}">
              <a16:creationId xmlns:a16="http://schemas.microsoft.com/office/drawing/2014/main" id="{56E63BBD-D4B9-4C83-838F-1DF48BF7F4AB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6" name="Line 79">
          <a:extLst>
            <a:ext uri="{FF2B5EF4-FFF2-40B4-BE49-F238E27FC236}">
              <a16:creationId xmlns:a16="http://schemas.microsoft.com/office/drawing/2014/main" id="{0DE1CB78-34C0-4B8A-ABCE-02BDAB845545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7" name="Line 81">
          <a:extLst>
            <a:ext uri="{FF2B5EF4-FFF2-40B4-BE49-F238E27FC236}">
              <a16:creationId xmlns:a16="http://schemas.microsoft.com/office/drawing/2014/main" id="{246CBB4E-7332-41AB-9C42-1C4D06BFF03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8" name="Line 83">
          <a:extLst>
            <a:ext uri="{FF2B5EF4-FFF2-40B4-BE49-F238E27FC236}">
              <a16:creationId xmlns:a16="http://schemas.microsoft.com/office/drawing/2014/main" id="{BA9CE411-662A-43E6-BDA5-BA37583D867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49" name="Line 85">
          <a:extLst>
            <a:ext uri="{FF2B5EF4-FFF2-40B4-BE49-F238E27FC236}">
              <a16:creationId xmlns:a16="http://schemas.microsoft.com/office/drawing/2014/main" id="{BB79F40C-DF7D-4E94-882F-8B6F3C8D8482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0" name="Line 87">
          <a:extLst>
            <a:ext uri="{FF2B5EF4-FFF2-40B4-BE49-F238E27FC236}">
              <a16:creationId xmlns:a16="http://schemas.microsoft.com/office/drawing/2014/main" id="{D7D73C32-A776-410B-9F39-5AA1A1571D4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1" name="Line 89">
          <a:extLst>
            <a:ext uri="{FF2B5EF4-FFF2-40B4-BE49-F238E27FC236}">
              <a16:creationId xmlns:a16="http://schemas.microsoft.com/office/drawing/2014/main" id="{8F4238F3-6CF1-4721-BA17-6F847CD43B4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2" name="Line 745">
          <a:extLst>
            <a:ext uri="{FF2B5EF4-FFF2-40B4-BE49-F238E27FC236}">
              <a16:creationId xmlns:a16="http://schemas.microsoft.com/office/drawing/2014/main" id="{FF1D152F-2596-4271-8968-E36597160FE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3" name="Line 747">
          <a:extLst>
            <a:ext uri="{FF2B5EF4-FFF2-40B4-BE49-F238E27FC236}">
              <a16:creationId xmlns:a16="http://schemas.microsoft.com/office/drawing/2014/main" id="{99942779-EEF2-4AA9-9C2A-88F0FCD57019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4" name="Line 749">
          <a:extLst>
            <a:ext uri="{FF2B5EF4-FFF2-40B4-BE49-F238E27FC236}">
              <a16:creationId xmlns:a16="http://schemas.microsoft.com/office/drawing/2014/main" id="{627F8972-FD0D-4493-A2DD-15688BADD8C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5" name="Line 751">
          <a:extLst>
            <a:ext uri="{FF2B5EF4-FFF2-40B4-BE49-F238E27FC236}">
              <a16:creationId xmlns:a16="http://schemas.microsoft.com/office/drawing/2014/main" id="{D2073BE1-0504-45CB-A259-1041FCFBCEC1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6" name="Line 753">
          <a:extLst>
            <a:ext uri="{FF2B5EF4-FFF2-40B4-BE49-F238E27FC236}">
              <a16:creationId xmlns:a16="http://schemas.microsoft.com/office/drawing/2014/main" id="{63A24BCB-E160-4BDB-B724-C963874BA6E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7" name="Line 755">
          <a:extLst>
            <a:ext uri="{FF2B5EF4-FFF2-40B4-BE49-F238E27FC236}">
              <a16:creationId xmlns:a16="http://schemas.microsoft.com/office/drawing/2014/main" id="{6C191613-F975-47E4-9863-A7E30C04DA9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8" name="Line 757">
          <a:extLst>
            <a:ext uri="{FF2B5EF4-FFF2-40B4-BE49-F238E27FC236}">
              <a16:creationId xmlns:a16="http://schemas.microsoft.com/office/drawing/2014/main" id="{1E29DD4A-24D4-4E51-993A-9375A5B7CE3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59" name="Line 759">
          <a:extLst>
            <a:ext uri="{FF2B5EF4-FFF2-40B4-BE49-F238E27FC236}">
              <a16:creationId xmlns:a16="http://schemas.microsoft.com/office/drawing/2014/main" id="{D2195B26-1BE8-4C67-850D-0550A0CFD43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0" name="Line 761">
          <a:extLst>
            <a:ext uri="{FF2B5EF4-FFF2-40B4-BE49-F238E27FC236}">
              <a16:creationId xmlns:a16="http://schemas.microsoft.com/office/drawing/2014/main" id="{84BAD09F-1963-4934-B8BB-C45BAA34463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1" name="Line 763">
          <a:extLst>
            <a:ext uri="{FF2B5EF4-FFF2-40B4-BE49-F238E27FC236}">
              <a16:creationId xmlns:a16="http://schemas.microsoft.com/office/drawing/2014/main" id="{7C3FA6CC-7D2D-4E28-9912-72DA79295C2A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2" name="Line 765">
          <a:extLst>
            <a:ext uri="{FF2B5EF4-FFF2-40B4-BE49-F238E27FC236}">
              <a16:creationId xmlns:a16="http://schemas.microsoft.com/office/drawing/2014/main" id="{EE59A380-A88F-472E-95F6-D6F358D4CCF8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3" name="Line 767">
          <a:extLst>
            <a:ext uri="{FF2B5EF4-FFF2-40B4-BE49-F238E27FC236}">
              <a16:creationId xmlns:a16="http://schemas.microsoft.com/office/drawing/2014/main" id="{22073A26-62BA-4EF9-9255-037839F823C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4" name="Line 769">
          <a:extLst>
            <a:ext uri="{FF2B5EF4-FFF2-40B4-BE49-F238E27FC236}">
              <a16:creationId xmlns:a16="http://schemas.microsoft.com/office/drawing/2014/main" id="{FC172F57-851F-4EA2-A38D-4DA2124FFD4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5" name="Line 771">
          <a:extLst>
            <a:ext uri="{FF2B5EF4-FFF2-40B4-BE49-F238E27FC236}">
              <a16:creationId xmlns:a16="http://schemas.microsoft.com/office/drawing/2014/main" id="{D58C7D81-B106-4F1F-8214-3AD7497E5A0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6" name="Line 773">
          <a:extLst>
            <a:ext uri="{FF2B5EF4-FFF2-40B4-BE49-F238E27FC236}">
              <a16:creationId xmlns:a16="http://schemas.microsoft.com/office/drawing/2014/main" id="{33B92CB9-114B-4E5B-B4EC-3CC648A9752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7" name="Line 775">
          <a:extLst>
            <a:ext uri="{FF2B5EF4-FFF2-40B4-BE49-F238E27FC236}">
              <a16:creationId xmlns:a16="http://schemas.microsoft.com/office/drawing/2014/main" id="{0A2F25A3-044B-4CD9-AB1D-AB66D6FD5FE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8" name="Line 777">
          <a:extLst>
            <a:ext uri="{FF2B5EF4-FFF2-40B4-BE49-F238E27FC236}">
              <a16:creationId xmlns:a16="http://schemas.microsoft.com/office/drawing/2014/main" id="{5F85412A-33BB-41B0-A063-C9591AED943E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69" name="Line 779">
          <a:extLst>
            <a:ext uri="{FF2B5EF4-FFF2-40B4-BE49-F238E27FC236}">
              <a16:creationId xmlns:a16="http://schemas.microsoft.com/office/drawing/2014/main" id="{D48539E6-F878-4453-8D6F-5E4F21D90B74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0" name="Line 781">
          <a:extLst>
            <a:ext uri="{FF2B5EF4-FFF2-40B4-BE49-F238E27FC236}">
              <a16:creationId xmlns:a16="http://schemas.microsoft.com/office/drawing/2014/main" id="{B6DD1E90-6936-487D-8103-15827739BF80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1" name="Line 783">
          <a:extLst>
            <a:ext uri="{FF2B5EF4-FFF2-40B4-BE49-F238E27FC236}">
              <a16:creationId xmlns:a16="http://schemas.microsoft.com/office/drawing/2014/main" id="{30D395C9-C599-4740-8495-90584FF10C9C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2" name="Line 785">
          <a:extLst>
            <a:ext uri="{FF2B5EF4-FFF2-40B4-BE49-F238E27FC236}">
              <a16:creationId xmlns:a16="http://schemas.microsoft.com/office/drawing/2014/main" id="{A86B1AD0-4A8A-4A18-AAEA-7D946BC808D7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3" name="Line 787">
          <a:extLst>
            <a:ext uri="{FF2B5EF4-FFF2-40B4-BE49-F238E27FC236}">
              <a16:creationId xmlns:a16="http://schemas.microsoft.com/office/drawing/2014/main" id="{757D6DBC-0C60-406E-AEBA-E884F581CB34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4" name="Line 789">
          <a:extLst>
            <a:ext uri="{FF2B5EF4-FFF2-40B4-BE49-F238E27FC236}">
              <a16:creationId xmlns:a16="http://schemas.microsoft.com/office/drawing/2014/main" id="{B8D4111F-36EF-46E8-9735-7B787D22EBF6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379</xdr:row>
      <xdr:rowOff>0</xdr:rowOff>
    </xdr:from>
    <xdr:to>
      <xdr:col>14</xdr:col>
      <xdr:colOff>0</xdr:colOff>
      <xdr:row>379</xdr:row>
      <xdr:rowOff>0</xdr:rowOff>
    </xdr:to>
    <xdr:sp macro="" textlink="">
      <xdr:nvSpPr>
        <xdr:cNvPr id="1075" name="Line 791">
          <a:extLst>
            <a:ext uri="{FF2B5EF4-FFF2-40B4-BE49-F238E27FC236}">
              <a16:creationId xmlns:a16="http://schemas.microsoft.com/office/drawing/2014/main" id="{40F086E5-879B-4151-824A-63FD6621C2E2}"/>
            </a:ext>
          </a:extLst>
        </xdr:cNvPr>
        <xdr:cNvSpPr>
          <a:spLocks noChangeShapeType="1"/>
        </xdr:cNvSpPr>
      </xdr:nvSpPr>
      <xdr:spPr bwMode="auto">
        <a:xfrm>
          <a:off x="4400550" y="649795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076" name="Line 41">
          <a:extLst>
            <a:ext uri="{FF2B5EF4-FFF2-40B4-BE49-F238E27FC236}">
              <a16:creationId xmlns:a16="http://schemas.microsoft.com/office/drawing/2014/main" id="{44574874-89D3-420A-BD2F-340112E4C5CE}"/>
            </a:ext>
          </a:extLst>
        </xdr:cNvPr>
        <xdr:cNvSpPr>
          <a:spLocks noChangeShapeType="1"/>
        </xdr:cNvSpPr>
      </xdr:nvSpPr>
      <xdr:spPr bwMode="auto">
        <a:xfrm>
          <a:off x="440055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383</xdr:row>
      <xdr:rowOff>104775</xdr:rowOff>
    </xdr:from>
    <xdr:to>
      <xdr:col>14</xdr:col>
      <xdr:colOff>0</xdr:colOff>
      <xdr:row>384</xdr:row>
      <xdr:rowOff>57150</xdr:rowOff>
    </xdr:to>
    <xdr:sp macro="" textlink="">
      <xdr:nvSpPr>
        <xdr:cNvPr id="1077" name="Line 743">
          <a:extLst>
            <a:ext uri="{FF2B5EF4-FFF2-40B4-BE49-F238E27FC236}">
              <a16:creationId xmlns:a16="http://schemas.microsoft.com/office/drawing/2014/main" id="{53BAD7DE-1236-42EE-9815-B08CE737DE4D}"/>
            </a:ext>
          </a:extLst>
        </xdr:cNvPr>
        <xdr:cNvSpPr>
          <a:spLocks noChangeShapeType="1"/>
        </xdr:cNvSpPr>
      </xdr:nvSpPr>
      <xdr:spPr bwMode="auto">
        <a:xfrm>
          <a:off x="4400550" y="657701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78" name="Line 43">
          <a:extLst>
            <a:ext uri="{FF2B5EF4-FFF2-40B4-BE49-F238E27FC236}">
              <a16:creationId xmlns:a16="http://schemas.microsoft.com/office/drawing/2014/main" id="{4DB05310-39C9-4C7F-9CCC-7107E134311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79" name="Line 45">
          <a:extLst>
            <a:ext uri="{FF2B5EF4-FFF2-40B4-BE49-F238E27FC236}">
              <a16:creationId xmlns:a16="http://schemas.microsoft.com/office/drawing/2014/main" id="{FF7828D9-7C0A-4370-9756-AB5EF6DE4ED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0" name="Line 47">
          <a:extLst>
            <a:ext uri="{FF2B5EF4-FFF2-40B4-BE49-F238E27FC236}">
              <a16:creationId xmlns:a16="http://schemas.microsoft.com/office/drawing/2014/main" id="{9D0E3B43-ACC2-4525-B9EF-C0FA7D8BF5C9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1" name="Line 49">
          <a:extLst>
            <a:ext uri="{FF2B5EF4-FFF2-40B4-BE49-F238E27FC236}">
              <a16:creationId xmlns:a16="http://schemas.microsoft.com/office/drawing/2014/main" id="{8F032971-A946-4ED5-93D9-E2FDBA0DC01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2" name="Line 51">
          <a:extLst>
            <a:ext uri="{FF2B5EF4-FFF2-40B4-BE49-F238E27FC236}">
              <a16:creationId xmlns:a16="http://schemas.microsoft.com/office/drawing/2014/main" id="{14107C18-A8C1-4BA5-AF20-FF841CBD7F6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3" name="Line 53">
          <a:extLst>
            <a:ext uri="{FF2B5EF4-FFF2-40B4-BE49-F238E27FC236}">
              <a16:creationId xmlns:a16="http://schemas.microsoft.com/office/drawing/2014/main" id="{026ADE86-9D67-4FC2-90A9-190BD8DA2A52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4" name="Line 55">
          <a:extLst>
            <a:ext uri="{FF2B5EF4-FFF2-40B4-BE49-F238E27FC236}">
              <a16:creationId xmlns:a16="http://schemas.microsoft.com/office/drawing/2014/main" id="{BCF3896F-E034-4712-A3FB-6F461AB8F3F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5" name="Line 57">
          <a:extLst>
            <a:ext uri="{FF2B5EF4-FFF2-40B4-BE49-F238E27FC236}">
              <a16:creationId xmlns:a16="http://schemas.microsoft.com/office/drawing/2014/main" id="{09DC754B-7E97-41AF-AF40-C89841D72F8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6" name="Line 59">
          <a:extLst>
            <a:ext uri="{FF2B5EF4-FFF2-40B4-BE49-F238E27FC236}">
              <a16:creationId xmlns:a16="http://schemas.microsoft.com/office/drawing/2014/main" id="{B96FE717-A2A3-459B-AF4E-3A9FCF866C9C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7" name="Line 61">
          <a:extLst>
            <a:ext uri="{FF2B5EF4-FFF2-40B4-BE49-F238E27FC236}">
              <a16:creationId xmlns:a16="http://schemas.microsoft.com/office/drawing/2014/main" id="{C49D1BAB-0408-4811-B568-9DC938576868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8" name="Line 63">
          <a:extLst>
            <a:ext uri="{FF2B5EF4-FFF2-40B4-BE49-F238E27FC236}">
              <a16:creationId xmlns:a16="http://schemas.microsoft.com/office/drawing/2014/main" id="{C9CEE94F-B33D-4381-910A-3238BBA57F36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8BAB81EF-9973-417D-8945-CF16CF42BB5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0" name="Line 67">
          <a:extLst>
            <a:ext uri="{FF2B5EF4-FFF2-40B4-BE49-F238E27FC236}">
              <a16:creationId xmlns:a16="http://schemas.microsoft.com/office/drawing/2014/main" id="{6955CDFA-9F03-4ADA-B0C4-30E97329F6FD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1" name="Line 69">
          <a:extLst>
            <a:ext uri="{FF2B5EF4-FFF2-40B4-BE49-F238E27FC236}">
              <a16:creationId xmlns:a16="http://schemas.microsoft.com/office/drawing/2014/main" id="{A251807C-21E9-43F7-8070-6C750D74B6B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2" name="Line 71">
          <a:extLst>
            <a:ext uri="{FF2B5EF4-FFF2-40B4-BE49-F238E27FC236}">
              <a16:creationId xmlns:a16="http://schemas.microsoft.com/office/drawing/2014/main" id="{61DFD5E8-CB64-422D-999A-1182EEFA051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3" name="Line 73">
          <a:extLst>
            <a:ext uri="{FF2B5EF4-FFF2-40B4-BE49-F238E27FC236}">
              <a16:creationId xmlns:a16="http://schemas.microsoft.com/office/drawing/2014/main" id="{4CC480D9-6D10-4D1E-B27F-4FB256C4CB38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4" name="Line 75">
          <a:extLst>
            <a:ext uri="{FF2B5EF4-FFF2-40B4-BE49-F238E27FC236}">
              <a16:creationId xmlns:a16="http://schemas.microsoft.com/office/drawing/2014/main" id="{BF61D62C-474F-4F27-A7A8-410587DB1FA5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5" name="Line 77">
          <a:extLst>
            <a:ext uri="{FF2B5EF4-FFF2-40B4-BE49-F238E27FC236}">
              <a16:creationId xmlns:a16="http://schemas.microsoft.com/office/drawing/2014/main" id="{FDCBA59F-D272-4C45-89C9-C2EFD7084E9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6" name="Line 79">
          <a:extLst>
            <a:ext uri="{FF2B5EF4-FFF2-40B4-BE49-F238E27FC236}">
              <a16:creationId xmlns:a16="http://schemas.microsoft.com/office/drawing/2014/main" id="{B673275A-8DC3-4E07-B63F-84D07A5900E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7" name="Line 81">
          <a:extLst>
            <a:ext uri="{FF2B5EF4-FFF2-40B4-BE49-F238E27FC236}">
              <a16:creationId xmlns:a16="http://schemas.microsoft.com/office/drawing/2014/main" id="{F03CA4EE-7445-49F2-A74B-5A1CFA4156C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8" name="Line 83">
          <a:extLst>
            <a:ext uri="{FF2B5EF4-FFF2-40B4-BE49-F238E27FC236}">
              <a16:creationId xmlns:a16="http://schemas.microsoft.com/office/drawing/2014/main" id="{7DB8D975-65F4-4C43-A55C-C7D72AD55A9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099" name="Line 85">
          <a:extLst>
            <a:ext uri="{FF2B5EF4-FFF2-40B4-BE49-F238E27FC236}">
              <a16:creationId xmlns:a16="http://schemas.microsoft.com/office/drawing/2014/main" id="{213D8F2E-84CA-4BE7-8187-8859937C01E2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0" name="Line 87">
          <a:extLst>
            <a:ext uri="{FF2B5EF4-FFF2-40B4-BE49-F238E27FC236}">
              <a16:creationId xmlns:a16="http://schemas.microsoft.com/office/drawing/2014/main" id="{4F3ECD6E-813A-403B-B793-C76068073DF9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1" name="Line 89">
          <a:extLst>
            <a:ext uri="{FF2B5EF4-FFF2-40B4-BE49-F238E27FC236}">
              <a16:creationId xmlns:a16="http://schemas.microsoft.com/office/drawing/2014/main" id="{B68EBD74-6609-4EBB-AD62-1DB36030D45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2" name="Line 745">
          <a:extLst>
            <a:ext uri="{FF2B5EF4-FFF2-40B4-BE49-F238E27FC236}">
              <a16:creationId xmlns:a16="http://schemas.microsoft.com/office/drawing/2014/main" id="{66FC70A4-A3C6-4C4B-8577-4873BA3B4E3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3" name="Line 747">
          <a:extLst>
            <a:ext uri="{FF2B5EF4-FFF2-40B4-BE49-F238E27FC236}">
              <a16:creationId xmlns:a16="http://schemas.microsoft.com/office/drawing/2014/main" id="{44C6DF06-5A1B-421F-8B56-253BA38F0090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4" name="Line 749">
          <a:extLst>
            <a:ext uri="{FF2B5EF4-FFF2-40B4-BE49-F238E27FC236}">
              <a16:creationId xmlns:a16="http://schemas.microsoft.com/office/drawing/2014/main" id="{2E743B7F-A86E-4E77-83CF-8F99857F052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5" name="Line 751">
          <a:extLst>
            <a:ext uri="{FF2B5EF4-FFF2-40B4-BE49-F238E27FC236}">
              <a16:creationId xmlns:a16="http://schemas.microsoft.com/office/drawing/2014/main" id="{2543ACB2-E22E-4D3F-A5D3-AD242481902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6" name="Line 753">
          <a:extLst>
            <a:ext uri="{FF2B5EF4-FFF2-40B4-BE49-F238E27FC236}">
              <a16:creationId xmlns:a16="http://schemas.microsoft.com/office/drawing/2014/main" id="{BC77F59C-DEBC-4FD6-8A5A-890EC1F577DC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7" name="Line 755">
          <a:extLst>
            <a:ext uri="{FF2B5EF4-FFF2-40B4-BE49-F238E27FC236}">
              <a16:creationId xmlns:a16="http://schemas.microsoft.com/office/drawing/2014/main" id="{0251AB02-0DC2-428B-9462-971B4FA5BE5F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8" name="Line 757">
          <a:extLst>
            <a:ext uri="{FF2B5EF4-FFF2-40B4-BE49-F238E27FC236}">
              <a16:creationId xmlns:a16="http://schemas.microsoft.com/office/drawing/2014/main" id="{C79D5F00-DB59-4CF3-B24E-4AFD771F95D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09" name="Line 759">
          <a:extLst>
            <a:ext uri="{FF2B5EF4-FFF2-40B4-BE49-F238E27FC236}">
              <a16:creationId xmlns:a16="http://schemas.microsoft.com/office/drawing/2014/main" id="{CDD78607-E322-487D-AED7-CF883BB405F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0" name="Line 761">
          <a:extLst>
            <a:ext uri="{FF2B5EF4-FFF2-40B4-BE49-F238E27FC236}">
              <a16:creationId xmlns:a16="http://schemas.microsoft.com/office/drawing/2014/main" id="{0DEBE96D-D7AF-4290-92CB-BF9812FE3DF7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1" name="Line 763">
          <a:extLst>
            <a:ext uri="{FF2B5EF4-FFF2-40B4-BE49-F238E27FC236}">
              <a16:creationId xmlns:a16="http://schemas.microsoft.com/office/drawing/2014/main" id="{4246CCAF-F3C6-44E2-91C5-00FCE5AF302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2" name="Line 765">
          <a:extLst>
            <a:ext uri="{FF2B5EF4-FFF2-40B4-BE49-F238E27FC236}">
              <a16:creationId xmlns:a16="http://schemas.microsoft.com/office/drawing/2014/main" id="{9AE35589-EAD0-443B-9235-4D74A3A4C8A2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3" name="Line 767">
          <a:extLst>
            <a:ext uri="{FF2B5EF4-FFF2-40B4-BE49-F238E27FC236}">
              <a16:creationId xmlns:a16="http://schemas.microsoft.com/office/drawing/2014/main" id="{974DE184-1136-46F4-AD21-C9CDBFA5D0D0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4" name="Line 769">
          <a:extLst>
            <a:ext uri="{FF2B5EF4-FFF2-40B4-BE49-F238E27FC236}">
              <a16:creationId xmlns:a16="http://schemas.microsoft.com/office/drawing/2014/main" id="{26E44B25-76A3-4D34-9C30-BFF48210059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5" name="Line 771">
          <a:extLst>
            <a:ext uri="{FF2B5EF4-FFF2-40B4-BE49-F238E27FC236}">
              <a16:creationId xmlns:a16="http://schemas.microsoft.com/office/drawing/2014/main" id="{F0534DDB-8043-4B0E-B2B9-B2AD325A5F0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6" name="Line 773">
          <a:extLst>
            <a:ext uri="{FF2B5EF4-FFF2-40B4-BE49-F238E27FC236}">
              <a16:creationId xmlns:a16="http://schemas.microsoft.com/office/drawing/2014/main" id="{1D2095C2-627B-421C-A908-554D788402A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7" name="Line 775">
          <a:extLst>
            <a:ext uri="{FF2B5EF4-FFF2-40B4-BE49-F238E27FC236}">
              <a16:creationId xmlns:a16="http://schemas.microsoft.com/office/drawing/2014/main" id="{2A28510E-C28F-423D-BA9E-9EC28BE09BF3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8" name="Line 777">
          <a:extLst>
            <a:ext uri="{FF2B5EF4-FFF2-40B4-BE49-F238E27FC236}">
              <a16:creationId xmlns:a16="http://schemas.microsoft.com/office/drawing/2014/main" id="{B7B9955C-7FFC-4566-8B4F-A0E7EDE998B1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19" name="Line 779">
          <a:extLst>
            <a:ext uri="{FF2B5EF4-FFF2-40B4-BE49-F238E27FC236}">
              <a16:creationId xmlns:a16="http://schemas.microsoft.com/office/drawing/2014/main" id="{73A1135F-2EB4-4811-B613-A685C526C97E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0" name="Line 781">
          <a:extLst>
            <a:ext uri="{FF2B5EF4-FFF2-40B4-BE49-F238E27FC236}">
              <a16:creationId xmlns:a16="http://schemas.microsoft.com/office/drawing/2014/main" id="{18A56F4F-377A-4BDD-A1E9-EBCF0DFFC5F2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1" name="Line 783">
          <a:extLst>
            <a:ext uri="{FF2B5EF4-FFF2-40B4-BE49-F238E27FC236}">
              <a16:creationId xmlns:a16="http://schemas.microsoft.com/office/drawing/2014/main" id="{13132DF9-1D9D-4357-AED2-E14F6A089AC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2" name="Line 785">
          <a:extLst>
            <a:ext uri="{FF2B5EF4-FFF2-40B4-BE49-F238E27FC236}">
              <a16:creationId xmlns:a16="http://schemas.microsoft.com/office/drawing/2014/main" id="{4F792EE1-7978-4FBD-8CAE-FEE218C5E6EB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3" name="Line 787">
          <a:extLst>
            <a:ext uri="{FF2B5EF4-FFF2-40B4-BE49-F238E27FC236}">
              <a16:creationId xmlns:a16="http://schemas.microsoft.com/office/drawing/2014/main" id="{2E401990-A7A3-4E3C-8CD8-1101AF3D9DBA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4" name="Line 789">
          <a:extLst>
            <a:ext uri="{FF2B5EF4-FFF2-40B4-BE49-F238E27FC236}">
              <a16:creationId xmlns:a16="http://schemas.microsoft.com/office/drawing/2014/main" id="{ABA60504-7993-4BD1-ADE8-D7362F765C04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417</xdr:row>
      <xdr:rowOff>0</xdr:rowOff>
    </xdr:from>
    <xdr:to>
      <xdr:col>14</xdr:col>
      <xdr:colOff>0</xdr:colOff>
      <xdr:row>417</xdr:row>
      <xdr:rowOff>0</xdr:rowOff>
    </xdr:to>
    <xdr:sp macro="" textlink="">
      <xdr:nvSpPr>
        <xdr:cNvPr id="1125" name="Line 791">
          <a:extLst>
            <a:ext uri="{FF2B5EF4-FFF2-40B4-BE49-F238E27FC236}">
              <a16:creationId xmlns:a16="http://schemas.microsoft.com/office/drawing/2014/main" id="{FEA98F56-3499-4C2B-B463-D609E527627C}"/>
            </a:ext>
          </a:extLst>
        </xdr:cNvPr>
        <xdr:cNvSpPr>
          <a:spLocks noChangeShapeType="1"/>
        </xdr:cNvSpPr>
      </xdr:nvSpPr>
      <xdr:spPr bwMode="auto">
        <a:xfrm>
          <a:off x="4400550" y="714946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126" name="Line 41">
          <a:extLst>
            <a:ext uri="{FF2B5EF4-FFF2-40B4-BE49-F238E27FC236}">
              <a16:creationId xmlns:a16="http://schemas.microsoft.com/office/drawing/2014/main" id="{0DFAF37B-1C57-48F0-9359-580C3DC6A7C2}"/>
            </a:ext>
          </a:extLst>
        </xdr:cNvPr>
        <xdr:cNvSpPr>
          <a:spLocks noChangeShapeType="1"/>
        </xdr:cNvSpPr>
      </xdr:nvSpPr>
      <xdr:spPr bwMode="auto">
        <a:xfrm>
          <a:off x="440055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0</xdr:colOff>
      <xdr:row>421</xdr:row>
      <xdr:rowOff>104775</xdr:rowOff>
    </xdr:from>
    <xdr:to>
      <xdr:col>14</xdr:col>
      <xdr:colOff>0</xdr:colOff>
      <xdr:row>422</xdr:row>
      <xdr:rowOff>57150</xdr:rowOff>
    </xdr:to>
    <xdr:sp macro="" textlink="">
      <xdr:nvSpPr>
        <xdr:cNvPr id="1127" name="Line 743">
          <a:extLst>
            <a:ext uri="{FF2B5EF4-FFF2-40B4-BE49-F238E27FC236}">
              <a16:creationId xmlns:a16="http://schemas.microsoft.com/office/drawing/2014/main" id="{3B362617-1CBE-4CCF-94C5-8F752E52814E}"/>
            </a:ext>
          </a:extLst>
        </xdr:cNvPr>
        <xdr:cNvSpPr>
          <a:spLocks noChangeShapeType="1"/>
        </xdr:cNvSpPr>
      </xdr:nvSpPr>
      <xdr:spPr bwMode="auto">
        <a:xfrm>
          <a:off x="4400550" y="72285225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Nga/TAM/DVKT-TV/DIEN1-2/THUYVAN/VYEN-QTD.XLS" TargetMode="External"/><Relationship Id="rId1" Type="http://schemas.openxmlformats.org/officeDocument/2006/relationships/externalLinkPath" Target="/users/Nga/TAM/DVKT-TV/DIEN1-2/THUYVAN/VYEN-QTD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HP/AppData/Local/Temp/users/Nga/TAM/DVKT-TV/DIEN1-2/THUYVAN/VYEN-QTD.XLS" TargetMode="External"/><Relationship Id="rId1" Type="http://schemas.openxmlformats.org/officeDocument/2006/relationships/externalLinkPath" Target="/Users/HP/AppData/Local/Temp/users/Nga/TAM/DVKT-TV/DIEN1-2/THUYVAN/VYEN-QTD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tyTECCO1\5.DA_LongAn-TanNinh\Thuyvan\SolieuKTTV\GoDauHa_H,Hg(2025).xlsx" TargetMode="External"/><Relationship Id="rId1" Type="http://schemas.openxmlformats.org/officeDocument/2006/relationships/externalLinkPath" Target="GoDauHa_H,Hg(2025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DUNG\user\O_xuan\Tai_bien_moi_truong\x_1%25\mua_bosung\lan6\KEHOACH\Trinhduyet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VKT-TV/DIEN1-2/THUYVAN/VYEN-QTD.XLS" TargetMode="External"/><Relationship Id="rId1" Type="http://schemas.openxmlformats.org/officeDocument/2006/relationships/externalLinkPath" Target="/DVKT-TV/DIEN1-2/THUYVAN/VYEN-QT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nhung\01-10\HANOI0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Startup" Target="DISK-C/BBB/HK/DVKT-TV/DIEN1-2/THUYVAN/VYEN-QT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Startup" Target="LUUTRU1/D-DV2004/1-KT/K9/CUC-X/THANHMY/KEHOACH/Trinhduye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ga\TAM\DVKT-TV\DIEN1-2\THUYVAN\VYEN-QT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RCH2\A-DV2003\2-THVAN\8-T\DVKT-TV\DIEN1-2\THUYVAN\VYEN-QTD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ARCH2/A-DV2003/2-THVAN/8-T/DVKT-TV/DIEN1-2/THUYVAN/VYEN-QTD.XLS" TargetMode="External"/><Relationship Id="rId1" Type="http://schemas.openxmlformats.org/officeDocument/2006/relationships/externalLinkPath" Target="/ARCH2/A-DV2003/2-THVAN/8-T/DVKT-TV/DIEN1-2/THUYVAN/VYEN-QTD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UUTRU/QLLtru/DISK-C/My%20Documents/Tichhop/users/Nga/TAM/DVKT-TV/DIEN1-2/THUYVAN/VYEN-QTD.XLS" TargetMode="External"/><Relationship Id="rId1" Type="http://schemas.openxmlformats.org/officeDocument/2006/relationships/externalLinkPath" Target="/LUUTRU/QLLtru/DISK-C/My%20Documents/Tichhop/users/Nga/TAM/DVKT-TV/DIEN1-2/THUYVAN/VYEN-QT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UUTRU\QLLtru\DISK-C\My%20Documents\Tichhop\users\Nga\TAM\DVKT-TV\DIEN1-2\THUYVAN\VYEN-QT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PNT-QUOT-#3"/>
      <sheetName val="COAT&amp;WRAP-QIOT-#3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xz"/>
      <sheetName val="H ngay"/>
      <sheetName val="Hg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nhduyet-EVN"/>
      <sheetName val="Trinhduyet-A"/>
      <sheetName val="Trinhduyet (2)"/>
      <sheetName val="QG"/>
      <sheetName val="XL4Popp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GVL"/>
      <sheetName val="tra-vat-lieu"/>
      <sheetName val="BHV1_4"/>
      <sheetName val="BHV1_2+3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 ngay "/>
      <sheetName val="Q"/>
      <sheetName val="Pn"/>
      <sheetName val="XL4Poppy"/>
      <sheetName val="QG"/>
      <sheetName val="GiaVL"/>
      <sheetName val="A6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  <sheetName val="XL4Poppy"/>
      <sheetName val="GiaVL"/>
      <sheetName val="MTL$-INTER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inhduyet-EVN"/>
      <sheetName val="Trinhduyet-A"/>
      <sheetName val="Trinhduyet (2)"/>
      <sheetName val="QG"/>
      <sheetName val="XL4Poppy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Q TDo (R)"/>
      <sheetName val="QG"/>
      <sheetName val="Q TDo-95 "/>
      <sheetName val="Bang KL"/>
    </sheetNames>
    <sheetDataSet>
      <sheetData sheetId="0" refreshError="1"/>
      <sheetData sheetId="1" refreshError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 TDo (R)"/>
      <sheetName val="QG"/>
      <sheetName val="Q TDo-95 "/>
    </sheetNames>
    <sheetDataSet>
      <sheetData sheetId="0" refreshError="1"/>
      <sheetData sheetId="1">
        <row r="1">
          <cell r="A1" t="str">
            <v>MATRAM</v>
          </cell>
          <cell r="B1" t="str">
            <v>n¨m</v>
          </cell>
          <cell r="C1" t="str">
            <v>STTQ</v>
          </cell>
          <cell r="D1" t="str">
            <v>TGIO1</v>
          </cell>
          <cell r="E1" t="str">
            <v>TPHUT1</v>
          </cell>
          <cell r="F1" t="str">
            <v>TGIO2</v>
          </cell>
          <cell r="G1" t="str">
            <v>TPHUT2</v>
          </cell>
          <cell r="H1" t="str">
            <v>NGDOQ</v>
          </cell>
          <cell r="I1" t="str">
            <v>th¸ng ®o Q</v>
          </cell>
          <cell r="J1" t="str">
            <v>PPDOQ</v>
          </cell>
          <cell r="K1" t="str">
            <v>PPDOP</v>
          </cell>
          <cell r="L1" t="str">
            <v>TDOSAU</v>
          </cell>
          <cell r="M1" t="str">
            <v>HDOQ</v>
          </cell>
          <cell r="N1" t="str">
            <v>HCB</v>
          </cell>
          <cell r="O1" t="str">
            <v>Q</v>
          </cell>
          <cell r="P1" t="str">
            <v>F</v>
          </cell>
          <cell r="Q1" t="str">
            <v>VTB</v>
          </cell>
          <cell r="R1" t="str">
            <v>VMAX</v>
          </cell>
          <cell r="S1" t="str">
            <v>B</v>
          </cell>
          <cell r="T1" t="str">
            <v>DOSAUTB</v>
          </cell>
          <cell r="U1" t="str">
            <v>DOSAUMAX</v>
          </cell>
          <cell r="V1" t="str">
            <v>IDODOC</v>
          </cell>
          <cell r="W1" t="str">
            <v>HESONHAM</v>
          </cell>
          <cell r="X1" t="str">
            <v>R</v>
          </cell>
          <cell r="Y1" t="str">
            <v>PMNGANG</v>
          </cell>
          <cell r="Z1" t="str">
            <v>PDONVI</v>
          </cell>
          <cell r="AA1" t="str">
            <v>GHICHU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8672B-4797-475E-A1D0-D6C0CEF3585E}">
  <dimension ref="A1:AA456"/>
  <sheetViews>
    <sheetView tabSelected="1" workbookViewId="0">
      <selection activeCell="I437" sqref="I437"/>
    </sheetView>
  </sheetViews>
  <sheetFormatPr defaultColWidth="4" defaultRowHeight="14.1" customHeight="1" x14ac:dyDescent="0.2"/>
  <cols>
    <col min="1" max="25" width="4.7109375" style="8" customWidth="1"/>
    <col min="26" max="26" width="5.140625" style="8" customWidth="1"/>
    <col min="27" max="16384" width="4" style="8"/>
  </cols>
  <sheetData>
    <row r="1" spans="1:27" ht="14.1" customHeight="1" x14ac:dyDescent="0.25">
      <c r="A1" s="1" t="s">
        <v>0</v>
      </c>
      <c r="B1" s="2"/>
      <c r="C1" s="3"/>
      <c r="D1" s="4"/>
      <c r="E1" s="5"/>
      <c r="F1" s="5"/>
      <c r="G1" s="5"/>
      <c r="H1" s="5"/>
      <c r="I1" s="6"/>
      <c r="J1" s="4"/>
      <c r="K1" s="5"/>
      <c r="L1" s="5"/>
      <c r="M1" s="5"/>
      <c r="N1" s="5"/>
      <c r="O1" s="4"/>
      <c r="P1" s="6"/>
      <c r="Q1" s="4"/>
      <c r="R1" s="5"/>
      <c r="S1" s="5"/>
      <c r="T1" s="5"/>
      <c r="U1" s="5"/>
      <c r="V1" s="6"/>
      <c r="W1" s="4"/>
      <c r="X1" s="7"/>
      <c r="Y1" s="5"/>
      <c r="Z1" s="5"/>
      <c r="AA1" s="5"/>
    </row>
    <row r="2" spans="1:27" ht="14.1" customHeight="1" x14ac:dyDescent="0.25">
      <c r="A2" s="1" t="s">
        <v>1</v>
      </c>
      <c r="B2" s="2"/>
      <c r="C2" s="2"/>
      <c r="D2" s="9"/>
      <c r="E2" s="10"/>
      <c r="F2" s="10"/>
      <c r="G2" s="10"/>
      <c r="H2" s="10"/>
      <c r="I2" s="11"/>
      <c r="J2" s="11"/>
      <c r="K2" s="5"/>
      <c r="L2" s="5"/>
      <c r="M2" s="12" t="s">
        <v>2</v>
      </c>
      <c r="N2" s="13"/>
      <c r="O2" s="13"/>
      <c r="P2" s="13"/>
      <c r="Q2" s="14"/>
      <c r="R2" s="14"/>
      <c r="S2" s="10"/>
      <c r="T2" s="10"/>
      <c r="U2" s="10"/>
      <c r="V2" s="11"/>
      <c r="W2" s="11"/>
      <c r="X2" s="7"/>
      <c r="Y2" s="5"/>
      <c r="Z2" s="5"/>
      <c r="AA2" s="5"/>
    </row>
    <row r="3" spans="1:27" ht="14.1" customHeight="1" x14ac:dyDescent="0.25">
      <c r="A3" s="15" t="s">
        <v>3</v>
      </c>
      <c r="B3" s="16">
        <v>1</v>
      </c>
      <c r="C3" s="16"/>
      <c r="D3" s="17"/>
      <c r="E3" s="9"/>
      <c r="F3" s="18"/>
      <c r="G3" s="10"/>
      <c r="H3" s="10"/>
      <c r="I3" s="10"/>
      <c r="J3" s="4"/>
      <c r="K3" s="5"/>
      <c r="L3" s="5"/>
      <c r="M3" s="19"/>
      <c r="N3" s="20" t="s">
        <v>4</v>
      </c>
      <c r="O3" s="21">
        <v>2025</v>
      </c>
      <c r="P3" s="22"/>
      <c r="Q3" s="13"/>
      <c r="R3" s="14"/>
      <c r="S3" s="18"/>
      <c r="T3" s="10"/>
      <c r="U3" s="10"/>
      <c r="V3" s="10"/>
      <c r="W3" s="4"/>
      <c r="X3" s="23" t="s">
        <v>5</v>
      </c>
      <c r="Y3" s="5"/>
      <c r="Z3" s="5"/>
      <c r="AA3" s="5"/>
    </row>
    <row r="4" spans="1:27" ht="14.1" customHeight="1" x14ac:dyDescent="0.2">
      <c r="A4" s="24" t="s">
        <v>6</v>
      </c>
      <c r="B4" s="25">
        <v>0</v>
      </c>
      <c r="C4" s="26">
        <v>1</v>
      </c>
      <c r="D4" s="25">
        <v>2</v>
      </c>
      <c r="E4" s="25">
        <v>3</v>
      </c>
      <c r="F4" s="26">
        <v>4</v>
      </c>
      <c r="G4" s="25">
        <v>5</v>
      </c>
      <c r="H4" s="25">
        <v>6</v>
      </c>
      <c r="I4" s="26">
        <v>7</v>
      </c>
      <c r="J4" s="25">
        <v>8</v>
      </c>
      <c r="K4" s="25">
        <v>9</v>
      </c>
      <c r="L4" s="25">
        <v>10</v>
      </c>
      <c r="M4" s="25">
        <v>11</v>
      </c>
      <c r="N4" s="25">
        <v>12</v>
      </c>
      <c r="O4" s="25">
        <v>13</v>
      </c>
      <c r="P4" s="26">
        <v>14</v>
      </c>
      <c r="Q4" s="25">
        <v>15</v>
      </c>
      <c r="R4" s="26">
        <v>16</v>
      </c>
      <c r="S4" s="25">
        <v>17</v>
      </c>
      <c r="T4" s="26">
        <v>18</v>
      </c>
      <c r="U4" s="25">
        <v>19</v>
      </c>
      <c r="V4" s="26">
        <v>20</v>
      </c>
      <c r="W4" s="25">
        <v>21</v>
      </c>
      <c r="X4" s="26">
        <v>22</v>
      </c>
      <c r="Y4" s="25">
        <v>23</v>
      </c>
      <c r="Z4" s="27" t="s">
        <v>7</v>
      </c>
      <c r="AA4" s="27" t="s">
        <v>8</v>
      </c>
    </row>
    <row r="5" spans="1:27" ht="14.1" customHeight="1" x14ac:dyDescent="0.2">
      <c r="A5" s="28" t="s">
        <v>9</v>
      </c>
      <c r="B5" s="29"/>
      <c r="C5" s="30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30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 spans="1:27" ht="14.1" customHeight="1" x14ac:dyDescent="0.2">
      <c r="A6" s="31">
        <v>1</v>
      </c>
      <c r="B6" s="32">
        <v>71</v>
      </c>
      <c r="C6" s="33">
        <v>64</v>
      </c>
      <c r="D6" s="33">
        <v>64</v>
      </c>
      <c r="E6" s="33">
        <v>73</v>
      </c>
      <c r="F6" s="33">
        <v>86</v>
      </c>
      <c r="G6" s="33">
        <v>92</v>
      </c>
      <c r="H6" s="33">
        <v>96</v>
      </c>
      <c r="I6" s="33">
        <v>97</v>
      </c>
      <c r="J6" s="33">
        <v>90</v>
      </c>
      <c r="K6" s="33">
        <v>73</v>
      </c>
      <c r="L6" s="33">
        <v>61</v>
      </c>
      <c r="M6" s="33">
        <v>53</v>
      </c>
      <c r="N6" s="33">
        <v>45</v>
      </c>
      <c r="O6" s="33">
        <v>37</v>
      </c>
      <c r="P6" s="33">
        <v>28</v>
      </c>
      <c r="Q6" s="33">
        <v>20</v>
      </c>
      <c r="R6" s="33">
        <v>20</v>
      </c>
      <c r="S6" s="33">
        <v>38</v>
      </c>
      <c r="T6" s="33">
        <v>57</v>
      </c>
      <c r="U6" s="33">
        <v>68</v>
      </c>
      <c r="V6" s="33">
        <v>75</v>
      </c>
      <c r="W6" s="33">
        <v>81</v>
      </c>
      <c r="X6" s="33">
        <v>85</v>
      </c>
      <c r="Y6" s="34">
        <v>87</v>
      </c>
      <c r="Z6" s="35">
        <f t="shared" ref="Z6:Z36" si="0">SUM(B6:Y6)</f>
        <v>1561</v>
      </c>
      <c r="AA6" s="36">
        <f t="shared" ref="AA6:AA36" si="1">AVERAGE(B6:Y6)</f>
        <v>65.041666666666671</v>
      </c>
    </row>
    <row r="7" spans="1:27" ht="14.1" customHeight="1" x14ac:dyDescent="0.2">
      <c r="A7" s="37">
        <v>2</v>
      </c>
      <c r="B7" s="38">
        <v>83</v>
      </c>
      <c r="C7" s="39">
        <v>74</v>
      </c>
      <c r="D7" s="39">
        <v>67</v>
      </c>
      <c r="E7" s="39">
        <v>69</v>
      </c>
      <c r="F7" s="39">
        <v>82</v>
      </c>
      <c r="G7" s="39">
        <v>93</v>
      </c>
      <c r="H7" s="39">
        <v>100</v>
      </c>
      <c r="I7" s="39">
        <v>103</v>
      </c>
      <c r="J7" s="39">
        <v>104</v>
      </c>
      <c r="K7" s="39">
        <v>100</v>
      </c>
      <c r="L7" s="39">
        <v>83</v>
      </c>
      <c r="M7" s="39">
        <v>65</v>
      </c>
      <c r="N7" s="39">
        <v>56</v>
      </c>
      <c r="O7" s="39">
        <v>48</v>
      </c>
      <c r="P7" s="39">
        <v>40</v>
      </c>
      <c r="Q7" s="39">
        <v>32</v>
      </c>
      <c r="R7" s="39">
        <v>24</v>
      </c>
      <c r="S7" s="39">
        <v>22</v>
      </c>
      <c r="T7" s="39">
        <v>38</v>
      </c>
      <c r="U7" s="39">
        <v>57</v>
      </c>
      <c r="V7" s="39">
        <v>68</v>
      </c>
      <c r="W7" s="39">
        <v>74</v>
      </c>
      <c r="X7" s="39">
        <v>79</v>
      </c>
      <c r="Y7" s="40">
        <v>81</v>
      </c>
      <c r="Z7" s="41">
        <f t="shared" si="0"/>
        <v>1642</v>
      </c>
      <c r="AA7" s="42">
        <f t="shared" si="1"/>
        <v>68.416666666666671</v>
      </c>
    </row>
    <row r="8" spans="1:27" ht="14.1" customHeight="1" x14ac:dyDescent="0.2">
      <c r="A8" s="37">
        <v>3</v>
      </c>
      <c r="B8" s="38">
        <v>79</v>
      </c>
      <c r="C8" s="39">
        <v>70</v>
      </c>
      <c r="D8" s="39">
        <v>61</v>
      </c>
      <c r="E8" s="39">
        <v>57</v>
      </c>
      <c r="F8" s="39">
        <v>60</v>
      </c>
      <c r="G8" s="39">
        <v>74</v>
      </c>
      <c r="H8" s="39">
        <v>85</v>
      </c>
      <c r="I8" s="39">
        <v>91</v>
      </c>
      <c r="J8" s="39">
        <v>94</v>
      </c>
      <c r="K8" s="39">
        <v>93</v>
      </c>
      <c r="L8" s="39">
        <v>83</v>
      </c>
      <c r="M8" s="39">
        <v>65</v>
      </c>
      <c r="N8" s="39">
        <v>54</v>
      </c>
      <c r="O8" s="39">
        <v>46</v>
      </c>
      <c r="P8" s="39">
        <v>39</v>
      </c>
      <c r="Q8" s="39">
        <v>31</v>
      </c>
      <c r="R8" s="39">
        <v>22</v>
      </c>
      <c r="S8" s="39">
        <v>15</v>
      </c>
      <c r="T8" s="39">
        <v>25</v>
      </c>
      <c r="U8" s="39">
        <v>46</v>
      </c>
      <c r="V8" s="39">
        <v>63</v>
      </c>
      <c r="W8" s="39">
        <v>71</v>
      </c>
      <c r="X8" s="39">
        <v>77</v>
      </c>
      <c r="Y8" s="40">
        <v>81</v>
      </c>
      <c r="Z8" s="41">
        <f t="shared" si="0"/>
        <v>1482</v>
      </c>
      <c r="AA8" s="42">
        <f t="shared" si="1"/>
        <v>61.75</v>
      </c>
    </row>
    <row r="9" spans="1:27" ht="14.1" customHeight="1" x14ac:dyDescent="0.2">
      <c r="A9" s="37">
        <v>4</v>
      </c>
      <c r="B9" s="38">
        <v>82</v>
      </c>
      <c r="C9" s="39">
        <v>77</v>
      </c>
      <c r="D9" s="39">
        <v>65</v>
      </c>
      <c r="E9" s="39">
        <v>58</v>
      </c>
      <c r="F9" s="39">
        <v>57</v>
      </c>
      <c r="G9" s="39">
        <v>65</v>
      </c>
      <c r="H9" s="39">
        <v>79</v>
      </c>
      <c r="I9" s="39">
        <v>87</v>
      </c>
      <c r="J9" s="39">
        <v>92</v>
      </c>
      <c r="K9" s="39">
        <v>94</v>
      </c>
      <c r="L9" s="39">
        <v>92</v>
      </c>
      <c r="M9" s="39">
        <v>78</v>
      </c>
      <c r="N9" s="39">
        <v>61</v>
      </c>
      <c r="O9" s="39">
        <v>52</v>
      </c>
      <c r="P9" s="39">
        <v>45</v>
      </c>
      <c r="Q9" s="39">
        <v>37</v>
      </c>
      <c r="R9" s="39">
        <v>29</v>
      </c>
      <c r="S9" s="39">
        <v>18</v>
      </c>
      <c r="T9" s="39">
        <v>14</v>
      </c>
      <c r="U9" s="39">
        <v>29</v>
      </c>
      <c r="V9" s="39">
        <v>48</v>
      </c>
      <c r="W9" s="39">
        <v>59</v>
      </c>
      <c r="X9" s="39">
        <v>66</v>
      </c>
      <c r="Y9" s="40">
        <v>71</v>
      </c>
      <c r="Z9" s="41">
        <f t="shared" si="0"/>
        <v>1455</v>
      </c>
      <c r="AA9" s="42">
        <f t="shared" si="1"/>
        <v>60.625</v>
      </c>
    </row>
    <row r="10" spans="1:27" ht="14.1" customHeight="1" x14ac:dyDescent="0.2">
      <c r="A10" s="37">
        <v>5</v>
      </c>
      <c r="B10" s="38">
        <v>76</v>
      </c>
      <c r="C10" s="39">
        <v>77</v>
      </c>
      <c r="D10" s="39">
        <v>72</v>
      </c>
      <c r="E10" s="39">
        <v>59</v>
      </c>
      <c r="F10" s="39">
        <v>50</v>
      </c>
      <c r="G10" s="39">
        <v>47</v>
      </c>
      <c r="H10" s="39">
        <v>52</v>
      </c>
      <c r="I10" s="39">
        <v>66</v>
      </c>
      <c r="J10" s="39">
        <v>73</v>
      </c>
      <c r="K10" s="39">
        <v>78</v>
      </c>
      <c r="L10" s="39">
        <v>81</v>
      </c>
      <c r="M10" s="39">
        <v>80</v>
      </c>
      <c r="N10" s="39">
        <v>66</v>
      </c>
      <c r="O10" s="39">
        <v>49</v>
      </c>
      <c r="P10" s="39">
        <v>40</v>
      </c>
      <c r="Q10" s="39">
        <v>33</v>
      </c>
      <c r="R10" s="39">
        <v>24</v>
      </c>
      <c r="S10" s="39">
        <v>17</v>
      </c>
      <c r="T10" s="39">
        <v>10</v>
      </c>
      <c r="U10" s="39">
        <v>15</v>
      </c>
      <c r="V10" s="39">
        <v>36</v>
      </c>
      <c r="W10" s="39">
        <v>52</v>
      </c>
      <c r="X10" s="39">
        <v>61</v>
      </c>
      <c r="Y10" s="40">
        <v>67</v>
      </c>
      <c r="Z10" s="41">
        <f t="shared" si="0"/>
        <v>1281</v>
      </c>
      <c r="AA10" s="42">
        <f t="shared" si="1"/>
        <v>53.375</v>
      </c>
    </row>
    <row r="11" spans="1:27" ht="14.1" customHeight="1" x14ac:dyDescent="0.2">
      <c r="A11" s="37">
        <v>6</v>
      </c>
      <c r="B11" s="38">
        <v>72</v>
      </c>
      <c r="C11" s="39">
        <v>75</v>
      </c>
      <c r="D11" s="39">
        <v>73</v>
      </c>
      <c r="E11" s="39">
        <v>60</v>
      </c>
      <c r="F11" s="39">
        <v>47</v>
      </c>
      <c r="G11" s="39">
        <v>42</v>
      </c>
      <c r="H11" s="39">
        <v>39</v>
      </c>
      <c r="I11" s="39">
        <v>42</v>
      </c>
      <c r="J11" s="39">
        <v>56</v>
      </c>
      <c r="K11" s="39">
        <v>66</v>
      </c>
      <c r="L11" s="39">
        <v>71</v>
      </c>
      <c r="M11" s="39">
        <v>73</v>
      </c>
      <c r="N11" s="39">
        <v>69</v>
      </c>
      <c r="O11" s="39">
        <v>53</v>
      </c>
      <c r="P11" s="39">
        <v>40</v>
      </c>
      <c r="Q11" s="39">
        <v>32</v>
      </c>
      <c r="R11" s="39">
        <v>24</v>
      </c>
      <c r="S11" s="39">
        <v>17</v>
      </c>
      <c r="T11" s="39">
        <v>9</v>
      </c>
      <c r="U11" s="39">
        <v>8</v>
      </c>
      <c r="V11" s="39">
        <v>26</v>
      </c>
      <c r="W11" s="39">
        <v>45</v>
      </c>
      <c r="X11" s="39">
        <v>54</v>
      </c>
      <c r="Y11" s="40">
        <v>61</v>
      </c>
      <c r="Z11" s="41">
        <f t="shared" si="0"/>
        <v>1154</v>
      </c>
      <c r="AA11" s="42">
        <f t="shared" si="1"/>
        <v>48.083333333333336</v>
      </c>
    </row>
    <row r="12" spans="1:27" ht="14.1" customHeight="1" x14ac:dyDescent="0.2">
      <c r="A12" s="37">
        <v>7</v>
      </c>
      <c r="B12" s="38">
        <v>66</v>
      </c>
      <c r="C12" s="39">
        <v>70</v>
      </c>
      <c r="D12" s="39">
        <v>71</v>
      </c>
      <c r="E12" s="39">
        <v>63</v>
      </c>
      <c r="F12" s="39">
        <v>48</v>
      </c>
      <c r="G12" s="39">
        <v>38</v>
      </c>
      <c r="H12" s="39">
        <v>32</v>
      </c>
      <c r="I12" s="39">
        <v>28</v>
      </c>
      <c r="J12" s="39">
        <v>26</v>
      </c>
      <c r="K12" s="39">
        <v>34</v>
      </c>
      <c r="L12" s="39">
        <v>48</v>
      </c>
      <c r="M12" s="39">
        <v>56</v>
      </c>
      <c r="N12" s="39">
        <v>58</v>
      </c>
      <c r="O12" s="39">
        <v>57</v>
      </c>
      <c r="P12" s="39">
        <v>45</v>
      </c>
      <c r="Q12" s="39">
        <v>30</v>
      </c>
      <c r="R12" s="39">
        <v>20</v>
      </c>
      <c r="S12" s="39">
        <v>13</v>
      </c>
      <c r="T12" s="39">
        <v>6</v>
      </c>
      <c r="U12" s="39">
        <v>2</v>
      </c>
      <c r="V12" s="39">
        <v>5</v>
      </c>
      <c r="W12" s="39">
        <v>26</v>
      </c>
      <c r="X12" s="39">
        <v>42</v>
      </c>
      <c r="Y12" s="40">
        <v>50</v>
      </c>
      <c r="Z12" s="41">
        <f t="shared" si="0"/>
        <v>934</v>
      </c>
      <c r="AA12" s="42">
        <f t="shared" si="1"/>
        <v>38.916666666666664</v>
      </c>
    </row>
    <row r="13" spans="1:27" ht="14.1" customHeight="1" x14ac:dyDescent="0.2">
      <c r="A13" s="37">
        <v>8</v>
      </c>
      <c r="B13" s="38">
        <v>57</v>
      </c>
      <c r="C13" s="39">
        <v>62</v>
      </c>
      <c r="D13" s="39">
        <v>66</v>
      </c>
      <c r="E13" s="39">
        <v>66</v>
      </c>
      <c r="F13" s="39">
        <v>55</v>
      </c>
      <c r="G13" s="39">
        <v>40</v>
      </c>
      <c r="H13" s="39">
        <v>30</v>
      </c>
      <c r="I13" s="39">
        <v>24</v>
      </c>
      <c r="J13" s="39">
        <v>18</v>
      </c>
      <c r="K13" s="39">
        <v>15</v>
      </c>
      <c r="L13" s="39">
        <v>18</v>
      </c>
      <c r="M13" s="39">
        <v>31</v>
      </c>
      <c r="N13" s="39">
        <v>42</v>
      </c>
      <c r="O13" s="39">
        <v>47</v>
      </c>
      <c r="P13" s="39">
        <v>49</v>
      </c>
      <c r="Q13" s="39">
        <v>47</v>
      </c>
      <c r="R13" s="39">
        <v>36</v>
      </c>
      <c r="S13" s="39">
        <v>24</v>
      </c>
      <c r="T13" s="39">
        <v>16</v>
      </c>
      <c r="U13" s="39">
        <v>12</v>
      </c>
      <c r="V13" s="39">
        <v>12</v>
      </c>
      <c r="W13" s="39">
        <v>23</v>
      </c>
      <c r="X13" s="39">
        <v>40</v>
      </c>
      <c r="Y13" s="40">
        <v>50</v>
      </c>
      <c r="Z13" s="41">
        <f t="shared" si="0"/>
        <v>880</v>
      </c>
      <c r="AA13" s="42">
        <f t="shared" si="1"/>
        <v>36.666666666666664</v>
      </c>
    </row>
    <row r="14" spans="1:27" ht="14.1" customHeight="1" x14ac:dyDescent="0.2">
      <c r="A14" s="37">
        <v>9</v>
      </c>
      <c r="B14" s="38">
        <v>57</v>
      </c>
      <c r="C14" s="39">
        <v>62</v>
      </c>
      <c r="D14" s="39">
        <v>67</v>
      </c>
      <c r="E14" s="39">
        <v>68</v>
      </c>
      <c r="F14" s="39">
        <v>61</v>
      </c>
      <c r="G14" s="39">
        <v>47</v>
      </c>
      <c r="H14" s="39">
        <v>35</v>
      </c>
      <c r="I14" s="39">
        <v>28</v>
      </c>
      <c r="J14" s="39">
        <v>20</v>
      </c>
      <c r="K14" s="39">
        <v>13</v>
      </c>
      <c r="L14" s="39">
        <v>8</v>
      </c>
      <c r="M14" s="39">
        <v>8</v>
      </c>
      <c r="N14" s="39">
        <v>19</v>
      </c>
      <c r="O14" s="39">
        <v>32</v>
      </c>
      <c r="P14" s="39">
        <v>39</v>
      </c>
      <c r="Q14" s="39">
        <v>43</v>
      </c>
      <c r="R14" s="39">
        <v>45</v>
      </c>
      <c r="S14" s="39">
        <v>44</v>
      </c>
      <c r="T14" s="39">
        <v>38</v>
      </c>
      <c r="U14" s="39">
        <v>27</v>
      </c>
      <c r="V14" s="39">
        <v>21</v>
      </c>
      <c r="W14" s="39">
        <v>20</v>
      </c>
      <c r="X14" s="39">
        <v>29</v>
      </c>
      <c r="Y14" s="40">
        <v>42</v>
      </c>
      <c r="Z14" s="41">
        <f t="shared" si="0"/>
        <v>873</v>
      </c>
      <c r="AA14" s="42">
        <f t="shared" si="1"/>
        <v>36.375</v>
      </c>
    </row>
    <row r="15" spans="1:27" ht="14.1" customHeight="1" x14ac:dyDescent="0.2">
      <c r="A15" s="37">
        <v>10</v>
      </c>
      <c r="B15" s="38">
        <v>51</v>
      </c>
      <c r="C15" s="39">
        <v>58</v>
      </c>
      <c r="D15" s="39">
        <v>63</v>
      </c>
      <c r="E15" s="39">
        <v>66</v>
      </c>
      <c r="F15" s="39">
        <v>67</v>
      </c>
      <c r="G15" s="39">
        <v>57</v>
      </c>
      <c r="H15" s="39">
        <v>41</v>
      </c>
      <c r="I15" s="39">
        <v>31</v>
      </c>
      <c r="J15" s="39">
        <v>23</v>
      </c>
      <c r="K15" s="39">
        <v>16</v>
      </c>
      <c r="L15" s="39">
        <v>7</v>
      </c>
      <c r="M15" s="39">
        <v>1</v>
      </c>
      <c r="N15" s="39">
        <v>3</v>
      </c>
      <c r="O15" s="39">
        <v>17</v>
      </c>
      <c r="P15" s="39">
        <v>32</v>
      </c>
      <c r="Q15" s="39">
        <v>41</v>
      </c>
      <c r="R15" s="39">
        <v>47</v>
      </c>
      <c r="S15" s="39">
        <v>51</v>
      </c>
      <c r="T15" s="39">
        <v>54</v>
      </c>
      <c r="U15" s="39">
        <v>55</v>
      </c>
      <c r="V15" s="39">
        <v>54</v>
      </c>
      <c r="W15" s="39">
        <v>51</v>
      </c>
      <c r="X15" s="39">
        <v>50</v>
      </c>
      <c r="Y15" s="40">
        <v>55</v>
      </c>
      <c r="Z15" s="41">
        <f t="shared" si="0"/>
        <v>991</v>
      </c>
      <c r="AA15" s="42">
        <f t="shared" si="1"/>
        <v>41.291666666666664</v>
      </c>
    </row>
    <row r="16" spans="1:27" ht="14.1" customHeight="1" x14ac:dyDescent="0.2">
      <c r="A16" s="37">
        <v>11</v>
      </c>
      <c r="B16" s="38">
        <v>63</v>
      </c>
      <c r="C16" s="39">
        <v>70</v>
      </c>
      <c r="D16" s="39">
        <v>76</v>
      </c>
      <c r="E16" s="39">
        <v>80</v>
      </c>
      <c r="F16" s="39">
        <v>82</v>
      </c>
      <c r="G16" s="39">
        <v>80</v>
      </c>
      <c r="H16" s="39">
        <v>67</v>
      </c>
      <c r="I16" s="39">
        <v>53</v>
      </c>
      <c r="J16" s="39">
        <v>43</v>
      </c>
      <c r="K16" s="39">
        <v>36</v>
      </c>
      <c r="L16" s="39">
        <v>28</v>
      </c>
      <c r="M16" s="39">
        <v>21</v>
      </c>
      <c r="N16" s="39">
        <v>14</v>
      </c>
      <c r="O16" s="39">
        <v>14</v>
      </c>
      <c r="P16" s="39">
        <v>25</v>
      </c>
      <c r="Q16" s="39">
        <v>41</v>
      </c>
      <c r="R16" s="39">
        <v>51</v>
      </c>
      <c r="S16" s="39">
        <v>58</v>
      </c>
      <c r="T16" s="39">
        <v>63</v>
      </c>
      <c r="U16" s="39">
        <v>66</v>
      </c>
      <c r="V16" s="39">
        <v>69</v>
      </c>
      <c r="W16" s="39">
        <v>71</v>
      </c>
      <c r="X16" s="39">
        <v>71</v>
      </c>
      <c r="Y16" s="40">
        <v>71</v>
      </c>
      <c r="Z16" s="41">
        <f t="shared" si="0"/>
        <v>1313</v>
      </c>
      <c r="AA16" s="42">
        <f t="shared" si="1"/>
        <v>54.708333333333336</v>
      </c>
    </row>
    <row r="17" spans="1:27" ht="14.1" customHeight="1" x14ac:dyDescent="0.2">
      <c r="A17" s="37">
        <v>12</v>
      </c>
      <c r="B17" s="38">
        <v>73</v>
      </c>
      <c r="C17" s="39">
        <v>78</v>
      </c>
      <c r="D17" s="39">
        <v>83</v>
      </c>
      <c r="E17" s="39">
        <v>88</v>
      </c>
      <c r="F17" s="39">
        <v>91</v>
      </c>
      <c r="G17" s="39">
        <v>92</v>
      </c>
      <c r="H17" s="39">
        <v>87</v>
      </c>
      <c r="I17" s="39">
        <v>72</v>
      </c>
      <c r="J17" s="39">
        <v>60</v>
      </c>
      <c r="K17" s="39">
        <v>51</v>
      </c>
      <c r="L17" s="39">
        <v>44</v>
      </c>
      <c r="M17" s="39">
        <v>36</v>
      </c>
      <c r="N17" s="39">
        <v>28</v>
      </c>
      <c r="O17" s="39">
        <v>21</v>
      </c>
      <c r="P17" s="39">
        <v>21</v>
      </c>
      <c r="Q17" s="39">
        <v>35</v>
      </c>
      <c r="R17" s="39">
        <v>51</v>
      </c>
      <c r="S17" s="39">
        <v>61</v>
      </c>
      <c r="T17" s="39">
        <v>67</v>
      </c>
      <c r="U17" s="39">
        <v>72</v>
      </c>
      <c r="V17" s="39">
        <v>77</v>
      </c>
      <c r="W17" s="39">
        <v>80</v>
      </c>
      <c r="X17" s="39">
        <v>82</v>
      </c>
      <c r="Y17" s="40">
        <v>81</v>
      </c>
      <c r="Z17" s="41">
        <f t="shared" si="0"/>
        <v>1531</v>
      </c>
      <c r="AA17" s="42">
        <f t="shared" si="1"/>
        <v>63.791666666666664</v>
      </c>
    </row>
    <row r="18" spans="1:27" ht="14.1" customHeight="1" x14ac:dyDescent="0.2">
      <c r="A18" s="37">
        <v>13</v>
      </c>
      <c r="B18" s="38">
        <v>81</v>
      </c>
      <c r="C18" s="39">
        <v>82</v>
      </c>
      <c r="D18" s="39">
        <v>87</v>
      </c>
      <c r="E18" s="39">
        <v>93</v>
      </c>
      <c r="F18" s="39">
        <v>97</v>
      </c>
      <c r="G18" s="39">
        <v>100</v>
      </c>
      <c r="H18" s="39">
        <v>99</v>
      </c>
      <c r="I18" s="39">
        <v>92</v>
      </c>
      <c r="J18" s="39">
        <v>75</v>
      </c>
      <c r="K18" s="39">
        <v>65</v>
      </c>
      <c r="L18" s="39">
        <v>57</v>
      </c>
      <c r="M18" s="39">
        <v>50</v>
      </c>
      <c r="N18" s="39">
        <v>42</v>
      </c>
      <c r="O18" s="39">
        <v>34</v>
      </c>
      <c r="P18" s="39">
        <v>28</v>
      </c>
      <c r="Q18" s="39">
        <v>30</v>
      </c>
      <c r="R18" s="39">
        <v>45</v>
      </c>
      <c r="S18" s="39">
        <v>62</v>
      </c>
      <c r="T18" s="39">
        <v>71</v>
      </c>
      <c r="U18" s="39">
        <v>76</v>
      </c>
      <c r="V18" s="39">
        <v>81</v>
      </c>
      <c r="W18" s="39">
        <v>84</v>
      </c>
      <c r="X18" s="39">
        <v>86</v>
      </c>
      <c r="Y18" s="40">
        <v>84</v>
      </c>
      <c r="Z18" s="41">
        <f t="shared" si="0"/>
        <v>1701</v>
      </c>
      <c r="AA18" s="42">
        <f t="shared" si="1"/>
        <v>70.875</v>
      </c>
    </row>
    <row r="19" spans="1:27" ht="14.1" customHeight="1" x14ac:dyDescent="0.2">
      <c r="A19" s="37">
        <v>14</v>
      </c>
      <c r="B19" s="38">
        <v>81</v>
      </c>
      <c r="C19" s="39">
        <v>79</v>
      </c>
      <c r="D19" s="39">
        <v>83</v>
      </c>
      <c r="E19" s="39">
        <v>91</v>
      </c>
      <c r="F19" s="39">
        <v>97</v>
      </c>
      <c r="G19" s="39">
        <v>101</v>
      </c>
      <c r="H19" s="39">
        <v>102</v>
      </c>
      <c r="I19" s="39">
        <v>99</v>
      </c>
      <c r="J19" s="39">
        <v>87</v>
      </c>
      <c r="K19" s="39">
        <v>71</v>
      </c>
      <c r="L19" s="39">
        <v>61</v>
      </c>
      <c r="M19" s="39">
        <v>53</v>
      </c>
      <c r="N19" s="39">
        <v>46</v>
      </c>
      <c r="O19" s="39">
        <v>38</v>
      </c>
      <c r="P19" s="39">
        <v>30</v>
      </c>
      <c r="Q19" s="39">
        <v>25</v>
      </c>
      <c r="R19" s="39">
        <v>31</v>
      </c>
      <c r="S19" s="39">
        <v>50</v>
      </c>
      <c r="T19" s="39">
        <v>65</v>
      </c>
      <c r="U19" s="39">
        <v>72</v>
      </c>
      <c r="V19" s="39">
        <v>78</v>
      </c>
      <c r="W19" s="39">
        <v>81</v>
      </c>
      <c r="X19" s="39">
        <v>83</v>
      </c>
      <c r="Y19" s="40">
        <v>80</v>
      </c>
      <c r="Z19" s="41">
        <f t="shared" si="0"/>
        <v>1684</v>
      </c>
      <c r="AA19" s="42">
        <f t="shared" si="1"/>
        <v>70.166666666666671</v>
      </c>
    </row>
    <row r="20" spans="1:27" ht="14.1" customHeight="1" x14ac:dyDescent="0.2">
      <c r="A20" s="37">
        <v>15</v>
      </c>
      <c r="B20" s="38">
        <v>71</v>
      </c>
      <c r="C20" s="39">
        <v>62</v>
      </c>
      <c r="D20" s="39">
        <v>60</v>
      </c>
      <c r="E20" s="39">
        <v>66</v>
      </c>
      <c r="F20" s="39">
        <v>80</v>
      </c>
      <c r="G20" s="39">
        <v>89</v>
      </c>
      <c r="H20" s="39">
        <v>94</v>
      </c>
      <c r="I20" s="39">
        <v>96</v>
      </c>
      <c r="J20" s="39">
        <v>94</v>
      </c>
      <c r="K20" s="39">
        <v>82</v>
      </c>
      <c r="L20" s="39">
        <v>65</v>
      </c>
      <c r="M20" s="39">
        <v>55</v>
      </c>
      <c r="N20" s="39">
        <v>48</v>
      </c>
      <c r="O20" s="39">
        <v>40</v>
      </c>
      <c r="P20" s="39">
        <v>32</v>
      </c>
      <c r="Q20" s="39">
        <v>25</v>
      </c>
      <c r="R20" s="39">
        <v>21</v>
      </c>
      <c r="S20" s="39">
        <v>34</v>
      </c>
      <c r="T20" s="39">
        <v>55</v>
      </c>
      <c r="U20" s="39">
        <v>67</v>
      </c>
      <c r="V20" s="39">
        <v>75</v>
      </c>
      <c r="W20" s="39">
        <v>80</v>
      </c>
      <c r="X20" s="39">
        <v>84</v>
      </c>
      <c r="Y20" s="40">
        <v>86</v>
      </c>
      <c r="Z20" s="41">
        <f t="shared" si="0"/>
        <v>1561</v>
      </c>
      <c r="AA20" s="42">
        <f t="shared" si="1"/>
        <v>65.041666666666671</v>
      </c>
    </row>
    <row r="21" spans="1:27" ht="14.1" customHeight="1" x14ac:dyDescent="0.2">
      <c r="A21" s="37">
        <v>16</v>
      </c>
      <c r="B21" s="38">
        <v>82</v>
      </c>
      <c r="C21" s="39">
        <v>72</v>
      </c>
      <c r="D21" s="39">
        <v>64</v>
      </c>
      <c r="E21" s="39">
        <v>63</v>
      </c>
      <c r="F21" s="39">
        <v>72</v>
      </c>
      <c r="G21" s="39">
        <v>85</v>
      </c>
      <c r="H21" s="39">
        <v>93</v>
      </c>
      <c r="I21" s="39">
        <v>98</v>
      </c>
      <c r="J21" s="39">
        <v>99</v>
      </c>
      <c r="K21" s="39">
        <v>97</v>
      </c>
      <c r="L21" s="39">
        <v>82</v>
      </c>
      <c r="M21" s="39">
        <v>66</v>
      </c>
      <c r="N21" s="39">
        <v>57</v>
      </c>
      <c r="O21" s="39">
        <v>49</v>
      </c>
      <c r="P21" s="39">
        <v>42</v>
      </c>
      <c r="Q21" s="39">
        <v>34</v>
      </c>
      <c r="R21" s="39">
        <v>27</v>
      </c>
      <c r="S21" s="39">
        <v>31</v>
      </c>
      <c r="T21" s="39">
        <v>49</v>
      </c>
      <c r="U21" s="39">
        <v>65</v>
      </c>
      <c r="V21" s="39">
        <v>74</v>
      </c>
      <c r="W21" s="39">
        <v>80</v>
      </c>
      <c r="X21" s="39">
        <v>85</v>
      </c>
      <c r="Y21" s="40">
        <v>88</v>
      </c>
      <c r="Z21" s="41">
        <f t="shared" si="0"/>
        <v>1654</v>
      </c>
      <c r="AA21" s="42">
        <f t="shared" si="1"/>
        <v>68.916666666666671</v>
      </c>
    </row>
    <row r="22" spans="1:27" ht="14.1" customHeight="1" x14ac:dyDescent="0.2">
      <c r="A22" s="37">
        <v>17</v>
      </c>
      <c r="B22" s="38">
        <v>89</v>
      </c>
      <c r="C22" s="39">
        <v>82</v>
      </c>
      <c r="D22" s="39">
        <v>71</v>
      </c>
      <c r="E22" s="39">
        <v>63</v>
      </c>
      <c r="F22" s="39">
        <v>62</v>
      </c>
      <c r="G22" s="39">
        <v>73</v>
      </c>
      <c r="H22" s="39">
        <v>87</v>
      </c>
      <c r="I22" s="39">
        <v>94</v>
      </c>
      <c r="J22" s="39">
        <v>98</v>
      </c>
      <c r="K22" s="39">
        <v>99</v>
      </c>
      <c r="L22" s="39">
        <v>95</v>
      </c>
      <c r="M22" s="39">
        <v>78</v>
      </c>
      <c r="N22" s="39">
        <v>64</v>
      </c>
      <c r="O22" s="39">
        <v>54</v>
      </c>
      <c r="P22" s="39">
        <v>46</v>
      </c>
      <c r="Q22" s="39">
        <v>39</v>
      </c>
      <c r="R22" s="39">
        <v>31</v>
      </c>
      <c r="S22" s="39">
        <v>27</v>
      </c>
      <c r="T22" s="39">
        <v>36</v>
      </c>
      <c r="U22" s="39">
        <v>55</v>
      </c>
      <c r="V22" s="39">
        <v>67</v>
      </c>
      <c r="W22" s="39">
        <v>73</v>
      </c>
      <c r="X22" s="39">
        <v>78</v>
      </c>
      <c r="Y22" s="40">
        <v>82</v>
      </c>
      <c r="Z22" s="41">
        <f t="shared" si="0"/>
        <v>1643</v>
      </c>
      <c r="AA22" s="42">
        <f t="shared" si="1"/>
        <v>68.458333333333329</v>
      </c>
    </row>
    <row r="23" spans="1:27" ht="14.1" customHeight="1" x14ac:dyDescent="0.2">
      <c r="A23" s="37">
        <v>18</v>
      </c>
      <c r="B23" s="38">
        <v>84</v>
      </c>
      <c r="C23" s="39">
        <v>79</v>
      </c>
      <c r="D23" s="39">
        <v>66</v>
      </c>
      <c r="E23" s="39">
        <v>55</v>
      </c>
      <c r="F23" s="39">
        <v>51</v>
      </c>
      <c r="G23" s="39">
        <v>54</v>
      </c>
      <c r="H23" s="39">
        <v>70</v>
      </c>
      <c r="I23" s="39">
        <v>82</v>
      </c>
      <c r="J23" s="39">
        <v>88</v>
      </c>
      <c r="K23" s="39">
        <v>91</v>
      </c>
      <c r="L23" s="39">
        <v>90</v>
      </c>
      <c r="M23" s="39">
        <v>81</v>
      </c>
      <c r="N23" s="39">
        <v>63</v>
      </c>
      <c r="O23" s="39">
        <v>52</v>
      </c>
      <c r="P23" s="39">
        <v>44</v>
      </c>
      <c r="Q23" s="39">
        <v>37</v>
      </c>
      <c r="R23" s="39">
        <v>30</v>
      </c>
      <c r="S23" s="39">
        <v>24</v>
      </c>
      <c r="T23" s="39">
        <v>28</v>
      </c>
      <c r="U23" s="39">
        <v>45</v>
      </c>
      <c r="V23" s="39">
        <v>62</v>
      </c>
      <c r="W23" s="39">
        <v>71</v>
      </c>
      <c r="X23" s="39">
        <v>77</v>
      </c>
      <c r="Y23" s="40">
        <v>81</v>
      </c>
      <c r="Z23" s="41">
        <f t="shared" si="0"/>
        <v>1505</v>
      </c>
      <c r="AA23" s="42">
        <f t="shared" si="1"/>
        <v>62.708333333333336</v>
      </c>
    </row>
    <row r="24" spans="1:27" ht="14.1" customHeight="1" x14ac:dyDescent="0.2">
      <c r="A24" s="37">
        <v>19</v>
      </c>
      <c r="B24" s="38">
        <v>83</v>
      </c>
      <c r="C24" s="39">
        <v>78</v>
      </c>
      <c r="D24" s="39">
        <v>64</v>
      </c>
      <c r="E24" s="39">
        <v>53</v>
      </c>
      <c r="F24" s="39">
        <v>48</v>
      </c>
      <c r="G24" s="39">
        <v>46</v>
      </c>
      <c r="H24" s="39">
        <v>53</v>
      </c>
      <c r="I24" s="39">
        <v>68</v>
      </c>
      <c r="J24" s="39">
        <v>76</v>
      </c>
      <c r="K24" s="39">
        <v>80</v>
      </c>
      <c r="L24" s="39">
        <v>83</v>
      </c>
      <c r="M24" s="39">
        <v>81</v>
      </c>
      <c r="N24" s="39">
        <v>68</v>
      </c>
      <c r="O24" s="39">
        <v>52</v>
      </c>
      <c r="P24" s="39">
        <v>43</v>
      </c>
      <c r="Q24" s="39">
        <v>36</v>
      </c>
      <c r="R24" s="39">
        <v>29</v>
      </c>
      <c r="S24" s="39">
        <v>22</v>
      </c>
      <c r="T24" s="39">
        <v>21</v>
      </c>
      <c r="U24" s="39">
        <v>34</v>
      </c>
      <c r="V24" s="39">
        <v>52</v>
      </c>
      <c r="W24" s="39">
        <v>63</v>
      </c>
      <c r="X24" s="39">
        <v>69</v>
      </c>
      <c r="Y24" s="40">
        <v>74</v>
      </c>
      <c r="Z24" s="41">
        <f t="shared" si="0"/>
        <v>1376</v>
      </c>
      <c r="AA24" s="42">
        <f t="shared" si="1"/>
        <v>57.333333333333336</v>
      </c>
    </row>
    <row r="25" spans="1:27" ht="14.1" customHeight="1" x14ac:dyDescent="0.2">
      <c r="A25" s="37">
        <v>20</v>
      </c>
      <c r="B25" s="38">
        <v>77</v>
      </c>
      <c r="C25" s="39">
        <v>77</v>
      </c>
      <c r="D25" s="39">
        <v>66</v>
      </c>
      <c r="E25" s="39">
        <v>53</v>
      </c>
      <c r="F25" s="39">
        <v>45</v>
      </c>
      <c r="G25" s="39">
        <v>41</v>
      </c>
      <c r="H25" s="39">
        <v>40</v>
      </c>
      <c r="I25" s="39">
        <v>48</v>
      </c>
      <c r="J25" s="39">
        <v>60</v>
      </c>
      <c r="K25" s="39">
        <v>68</v>
      </c>
      <c r="L25" s="39">
        <v>72</v>
      </c>
      <c r="M25" s="39">
        <v>73</v>
      </c>
      <c r="N25" s="39">
        <v>66</v>
      </c>
      <c r="O25" s="39">
        <v>50</v>
      </c>
      <c r="P25" s="39">
        <v>38</v>
      </c>
      <c r="Q25" s="39">
        <v>31</v>
      </c>
      <c r="R25" s="39">
        <v>24</v>
      </c>
      <c r="S25" s="39">
        <v>18</v>
      </c>
      <c r="T25" s="39">
        <v>16</v>
      </c>
      <c r="U25" s="39">
        <v>27</v>
      </c>
      <c r="V25" s="39">
        <v>46</v>
      </c>
      <c r="W25" s="39">
        <v>58</v>
      </c>
      <c r="X25" s="39">
        <v>65</v>
      </c>
      <c r="Y25" s="40">
        <v>70</v>
      </c>
      <c r="Z25" s="41">
        <f t="shared" si="0"/>
        <v>1229</v>
      </c>
      <c r="AA25" s="42">
        <f t="shared" si="1"/>
        <v>51.208333333333336</v>
      </c>
    </row>
    <row r="26" spans="1:27" ht="14.1" customHeight="1" x14ac:dyDescent="0.2">
      <c r="A26" s="37">
        <v>21</v>
      </c>
      <c r="B26" s="38">
        <v>74</v>
      </c>
      <c r="C26" s="39">
        <v>76</v>
      </c>
      <c r="D26" s="39">
        <v>71</v>
      </c>
      <c r="E26" s="39">
        <v>58</v>
      </c>
      <c r="F26" s="39">
        <v>47</v>
      </c>
      <c r="G26" s="39">
        <v>41</v>
      </c>
      <c r="H26" s="39">
        <v>37</v>
      </c>
      <c r="I26" s="39">
        <v>34</v>
      </c>
      <c r="J26" s="39">
        <v>35</v>
      </c>
      <c r="K26" s="39">
        <v>44</v>
      </c>
      <c r="L26" s="39">
        <v>54</v>
      </c>
      <c r="M26" s="39">
        <v>59</v>
      </c>
      <c r="N26" s="39">
        <v>60</v>
      </c>
      <c r="O26" s="39">
        <v>53</v>
      </c>
      <c r="P26" s="39">
        <v>40</v>
      </c>
      <c r="Q26" s="39">
        <v>29</v>
      </c>
      <c r="R26" s="39">
        <v>22</v>
      </c>
      <c r="S26" s="39">
        <v>16</v>
      </c>
      <c r="T26" s="39">
        <v>12</v>
      </c>
      <c r="U26" s="39">
        <v>15</v>
      </c>
      <c r="V26" s="39">
        <v>32</v>
      </c>
      <c r="W26" s="39">
        <v>48</v>
      </c>
      <c r="X26" s="39">
        <v>55</v>
      </c>
      <c r="Y26" s="40">
        <v>61</v>
      </c>
      <c r="Z26" s="41">
        <f t="shared" si="0"/>
        <v>1073</v>
      </c>
      <c r="AA26" s="42">
        <f t="shared" si="1"/>
        <v>44.708333333333336</v>
      </c>
    </row>
    <row r="27" spans="1:27" ht="14.1" customHeight="1" x14ac:dyDescent="0.2">
      <c r="A27" s="37">
        <v>22</v>
      </c>
      <c r="B27" s="38">
        <v>66</v>
      </c>
      <c r="C27" s="39">
        <v>69</v>
      </c>
      <c r="D27" s="39">
        <v>68</v>
      </c>
      <c r="E27" s="39">
        <v>57</v>
      </c>
      <c r="F27" s="39">
        <v>44</v>
      </c>
      <c r="G27" s="39">
        <v>36</v>
      </c>
      <c r="H27" s="39">
        <v>30</v>
      </c>
      <c r="I27" s="39">
        <v>25</v>
      </c>
      <c r="J27" s="39">
        <v>19</v>
      </c>
      <c r="K27" s="39">
        <v>20</v>
      </c>
      <c r="L27" s="39">
        <v>30</v>
      </c>
      <c r="M27" s="39">
        <v>40</v>
      </c>
      <c r="N27" s="39">
        <v>45</v>
      </c>
      <c r="O27" s="39">
        <v>47</v>
      </c>
      <c r="P27" s="39">
        <v>44</v>
      </c>
      <c r="Q27" s="39">
        <v>34</v>
      </c>
      <c r="R27" s="39">
        <v>24</v>
      </c>
      <c r="S27" s="39">
        <v>17</v>
      </c>
      <c r="T27" s="39">
        <v>13</v>
      </c>
      <c r="U27" s="39">
        <v>13</v>
      </c>
      <c r="V27" s="39">
        <v>22</v>
      </c>
      <c r="W27" s="39">
        <v>38</v>
      </c>
      <c r="X27" s="39">
        <v>48</v>
      </c>
      <c r="Y27" s="40">
        <v>54</v>
      </c>
      <c r="Z27" s="41">
        <f t="shared" si="0"/>
        <v>903</v>
      </c>
      <c r="AA27" s="42">
        <f t="shared" si="1"/>
        <v>37.625</v>
      </c>
    </row>
    <row r="28" spans="1:27" ht="14.1" customHeight="1" x14ac:dyDescent="0.2">
      <c r="A28" s="37">
        <v>23</v>
      </c>
      <c r="B28" s="38">
        <v>59</v>
      </c>
      <c r="C28" s="39">
        <v>63</v>
      </c>
      <c r="D28" s="39">
        <v>64</v>
      </c>
      <c r="E28" s="39">
        <v>58</v>
      </c>
      <c r="F28" s="39">
        <v>45</v>
      </c>
      <c r="G28" s="39">
        <v>34</v>
      </c>
      <c r="H28" s="39">
        <v>27</v>
      </c>
      <c r="I28" s="39">
        <v>21</v>
      </c>
      <c r="J28" s="39">
        <v>14</v>
      </c>
      <c r="K28" s="39">
        <v>11</v>
      </c>
      <c r="L28" s="39">
        <v>11</v>
      </c>
      <c r="M28" s="39">
        <v>15</v>
      </c>
      <c r="N28" s="39">
        <v>20</v>
      </c>
      <c r="O28" s="39">
        <v>24</v>
      </c>
      <c r="P28" s="39">
        <v>29</v>
      </c>
      <c r="Q28" s="39">
        <v>31</v>
      </c>
      <c r="R28" s="39">
        <v>31</v>
      </c>
      <c r="S28" s="39">
        <v>28</v>
      </c>
      <c r="T28" s="39">
        <v>23</v>
      </c>
      <c r="U28" s="39">
        <v>20</v>
      </c>
      <c r="V28" s="39">
        <v>21</v>
      </c>
      <c r="W28" s="39">
        <v>31</v>
      </c>
      <c r="X28" s="39">
        <v>42</v>
      </c>
      <c r="Y28" s="40">
        <v>49</v>
      </c>
      <c r="Z28" s="41">
        <f t="shared" si="0"/>
        <v>771</v>
      </c>
      <c r="AA28" s="42">
        <f t="shared" si="1"/>
        <v>32.125</v>
      </c>
    </row>
    <row r="29" spans="1:27" ht="14.1" customHeight="1" x14ac:dyDescent="0.2">
      <c r="A29" s="43">
        <v>24</v>
      </c>
      <c r="B29" s="38">
        <v>54</v>
      </c>
      <c r="C29" s="39">
        <v>59</v>
      </c>
      <c r="D29" s="39">
        <v>61</v>
      </c>
      <c r="E29" s="39">
        <v>61</v>
      </c>
      <c r="F29" s="39">
        <v>49</v>
      </c>
      <c r="G29" s="39">
        <v>36</v>
      </c>
      <c r="H29" s="39">
        <v>28</v>
      </c>
      <c r="I29" s="39">
        <v>20</v>
      </c>
      <c r="J29" s="39">
        <v>12</v>
      </c>
      <c r="K29" s="39">
        <v>4</v>
      </c>
      <c r="L29" s="39">
        <v>-2</v>
      </c>
      <c r="M29" s="39">
        <v>-3</v>
      </c>
      <c r="N29" s="39">
        <v>2</v>
      </c>
      <c r="O29" s="39">
        <v>13</v>
      </c>
      <c r="P29" s="39">
        <v>24</v>
      </c>
      <c r="Q29" s="39">
        <v>31</v>
      </c>
      <c r="R29" s="39">
        <v>36</v>
      </c>
      <c r="S29" s="39">
        <v>40</v>
      </c>
      <c r="T29" s="39">
        <v>42</v>
      </c>
      <c r="U29" s="39">
        <v>44</v>
      </c>
      <c r="V29" s="39">
        <v>45</v>
      </c>
      <c r="W29" s="39">
        <v>47</v>
      </c>
      <c r="X29" s="39">
        <v>51</v>
      </c>
      <c r="Y29" s="40">
        <v>56</v>
      </c>
      <c r="Z29" s="41">
        <f t="shared" si="0"/>
        <v>810</v>
      </c>
      <c r="AA29" s="42">
        <f t="shared" si="1"/>
        <v>33.75</v>
      </c>
    </row>
    <row r="30" spans="1:27" ht="14.1" customHeight="1" x14ac:dyDescent="0.2">
      <c r="A30" s="37">
        <v>25</v>
      </c>
      <c r="B30" s="38">
        <v>61</v>
      </c>
      <c r="C30" s="39">
        <v>66</v>
      </c>
      <c r="D30" s="39">
        <v>69</v>
      </c>
      <c r="E30" s="39">
        <v>70</v>
      </c>
      <c r="F30" s="39">
        <v>65</v>
      </c>
      <c r="G30" s="39">
        <v>53</v>
      </c>
      <c r="H30" s="39">
        <v>43</v>
      </c>
      <c r="I30" s="39">
        <v>35</v>
      </c>
      <c r="J30" s="39">
        <v>26</v>
      </c>
      <c r="K30" s="39">
        <v>18</v>
      </c>
      <c r="L30" s="39">
        <v>10</v>
      </c>
      <c r="M30" s="39">
        <v>2</v>
      </c>
      <c r="N30" s="39">
        <v>-2</v>
      </c>
      <c r="O30" s="39">
        <v>4</v>
      </c>
      <c r="P30" s="39">
        <v>18</v>
      </c>
      <c r="Q30" s="39">
        <v>31</v>
      </c>
      <c r="R30" s="39">
        <v>39</v>
      </c>
      <c r="S30" s="39">
        <v>44</v>
      </c>
      <c r="T30" s="39">
        <v>48</v>
      </c>
      <c r="U30" s="39">
        <v>51</v>
      </c>
      <c r="V30" s="39">
        <v>53</v>
      </c>
      <c r="W30" s="39">
        <v>54</v>
      </c>
      <c r="X30" s="39">
        <v>55</v>
      </c>
      <c r="Y30" s="40">
        <v>57</v>
      </c>
      <c r="Z30" s="41">
        <f t="shared" si="0"/>
        <v>970</v>
      </c>
      <c r="AA30" s="42">
        <f t="shared" si="1"/>
        <v>40.416666666666664</v>
      </c>
    </row>
    <row r="31" spans="1:27" ht="14.1" customHeight="1" x14ac:dyDescent="0.2">
      <c r="A31" s="37">
        <v>26</v>
      </c>
      <c r="B31" s="38">
        <v>61</v>
      </c>
      <c r="C31" s="39">
        <v>65</v>
      </c>
      <c r="D31" s="39">
        <v>68</v>
      </c>
      <c r="E31" s="39">
        <v>70</v>
      </c>
      <c r="F31" s="39">
        <v>69</v>
      </c>
      <c r="G31" s="39">
        <v>63</v>
      </c>
      <c r="H31" s="39">
        <v>52</v>
      </c>
      <c r="I31" s="39">
        <v>43</v>
      </c>
      <c r="J31" s="39">
        <v>35</v>
      </c>
      <c r="K31" s="39">
        <v>27</v>
      </c>
      <c r="L31" s="39">
        <v>18</v>
      </c>
      <c r="M31" s="39">
        <v>9</v>
      </c>
      <c r="N31" s="39">
        <v>0</v>
      </c>
      <c r="O31" s="39">
        <v>-3</v>
      </c>
      <c r="P31" s="39">
        <v>4</v>
      </c>
      <c r="Q31" s="39">
        <v>22</v>
      </c>
      <c r="R31" s="39">
        <v>35</v>
      </c>
      <c r="S31" s="39">
        <v>42</v>
      </c>
      <c r="T31" s="39">
        <v>47</v>
      </c>
      <c r="U31" s="39">
        <v>52</v>
      </c>
      <c r="V31" s="39">
        <v>57</v>
      </c>
      <c r="W31" s="39">
        <v>60</v>
      </c>
      <c r="X31" s="39">
        <v>62</v>
      </c>
      <c r="Y31" s="40">
        <v>63</v>
      </c>
      <c r="Z31" s="41">
        <f t="shared" si="0"/>
        <v>1021</v>
      </c>
      <c r="AA31" s="42">
        <f t="shared" si="1"/>
        <v>42.541666666666664</v>
      </c>
    </row>
    <row r="32" spans="1:27" ht="14.1" customHeight="1" x14ac:dyDescent="0.2">
      <c r="A32" s="37">
        <v>27</v>
      </c>
      <c r="B32" s="38">
        <v>65</v>
      </c>
      <c r="C32" s="39">
        <v>69</v>
      </c>
      <c r="D32" s="39">
        <v>73</v>
      </c>
      <c r="E32" s="39">
        <v>77</v>
      </c>
      <c r="F32" s="39">
        <v>79</v>
      </c>
      <c r="G32" s="39">
        <v>77</v>
      </c>
      <c r="H32" s="39">
        <v>65</v>
      </c>
      <c r="I32" s="39">
        <v>54</v>
      </c>
      <c r="J32" s="39">
        <v>44</v>
      </c>
      <c r="K32" s="39">
        <v>37</v>
      </c>
      <c r="L32" s="39">
        <v>28</v>
      </c>
      <c r="M32" s="39">
        <v>20</v>
      </c>
      <c r="N32" s="39">
        <v>11</v>
      </c>
      <c r="O32" s="39">
        <v>4</v>
      </c>
      <c r="P32" s="39">
        <v>4</v>
      </c>
      <c r="Q32" s="39">
        <v>17</v>
      </c>
      <c r="R32" s="39">
        <v>34</v>
      </c>
      <c r="S32" s="39">
        <v>45</v>
      </c>
      <c r="T32" s="39">
        <v>52</v>
      </c>
      <c r="U32" s="39">
        <v>57</v>
      </c>
      <c r="V32" s="39">
        <v>62</v>
      </c>
      <c r="W32" s="39">
        <v>66</v>
      </c>
      <c r="X32" s="39">
        <v>69</v>
      </c>
      <c r="Y32" s="40">
        <v>70</v>
      </c>
      <c r="Z32" s="41">
        <f t="shared" si="0"/>
        <v>1179</v>
      </c>
      <c r="AA32" s="42">
        <f t="shared" si="1"/>
        <v>49.125</v>
      </c>
    </row>
    <row r="33" spans="1:27" ht="14.1" customHeight="1" x14ac:dyDescent="0.2">
      <c r="A33" s="37">
        <v>28</v>
      </c>
      <c r="B33" s="38">
        <v>71</v>
      </c>
      <c r="C33" s="39">
        <v>73</v>
      </c>
      <c r="D33" s="39">
        <v>78</v>
      </c>
      <c r="E33" s="39">
        <v>83</v>
      </c>
      <c r="F33" s="39">
        <v>87</v>
      </c>
      <c r="G33" s="39">
        <v>89</v>
      </c>
      <c r="H33" s="39">
        <v>88</v>
      </c>
      <c r="I33" s="39">
        <v>78</v>
      </c>
      <c r="J33" s="39">
        <v>62</v>
      </c>
      <c r="K33" s="39">
        <v>51</v>
      </c>
      <c r="L33" s="39">
        <v>44</v>
      </c>
      <c r="M33" s="39">
        <v>36</v>
      </c>
      <c r="N33" s="39">
        <v>28</v>
      </c>
      <c r="O33" s="39">
        <v>20</v>
      </c>
      <c r="P33" s="39">
        <v>14</v>
      </c>
      <c r="Q33" s="39">
        <v>16</v>
      </c>
      <c r="R33" s="39">
        <v>32</v>
      </c>
      <c r="S33" s="39">
        <v>48</v>
      </c>
      <c r="T33" s="39">
        <v>57</v>
      </c>
      <c r="U33" s="39">
        <v>62</v>
      </c>
      <c r="V33" s="39">
        <v>67</v>
      </c>
      <c r="W33" s="39">
        <v>71</v>
      </c>
      <c r="X33" s="39">
        <v>73</v>
      </c>
      <c r="Y33" s="40">
        <v>71</v>
      </c>
      <c r="Z33" s="41">
        <f t="shared" si="0"/>
        <v>1399</v>
      </c>
      <c r="AA33" s="42">
        <f t="shared" si="1"/>
        <v>58.291666666666664</v>
      </c>
    </row>
    <row r="34" spans="1:27" ht="14.1" customHeight="1" x14ac:dyDescent="0.2">
      <c r="A34" s="37">
        <v>29</v>
      </c>
      <c r="B34" s="38">
        <v>67</v>
      </c>
      <c r="C34" s="39">
        <v>64</v>
      </c>
      <c r="D34" s="39">
        <v>68</v>
      </c>
      <c r="E34" s="39">
        <v>78</v>
      </c>
      <c r="F34" s="39">
        <v>84</v>
      </c>
      <c r="G34" s="39">
        <v>88</v>
      </c>
      <c r="H34" s="39">
        <v>91</v>
      </c>
      <c r="I34" s="39">
        <v>88</v>
      </c>
      <c r="J34" s="39">
        <v>73</v>
      </c>
      <c r="K34" s="39">
        <v>58</v>
      </c>
      <c r="L34" s="39">
        <v>49</v>
      </c>
      <c r="M34" s="39">
        <v>42</v>
      </c>
      <c r="N34" s="39">
        <v>34</v>
      </c>
      <c r="O34" s="39">
        <v>26</v>
      </c>
      <c r="P34" s="39">
        <v>18</v>
      </c>
      <c r="Q34" s="39">
        <v>14</v>
      </c>
      <c r="R34" s="39">
        <v>25</v>
      </c>
      <c r="S34" s="39">
        <v>44</v>
      </c>
      <c r="T34" s="39">
        <v>56</v>
      </c>
      <c r="U34" s="39">
        <v>62</v>
      </c>
      <c r="V34" s="39">
        <v>68</v>
      </c>
      <c r="W34" s="39">
        <v>72</v>
      </c>
      <c r="X34" s="39">
        <v>74</v>
      </c>
      <c r="Y34" s="40">
        <v>73</v>
      </c>
      <c r="Z34" s="41">
        <f t="shared" si="0"/>
        <v>1416</v>
      </c>
      <c r="AA34" s="42">
        <f t="shared" si="1"/>
        <v>59</v>
      </c>
    </row>
    <row r="35" spans="1:27" ht="14.1" customHeight="1" x14ac:dyDescent="0.2">
      <c r="A35" s="37">
        <v>30</v>
      </c>
      <c r="B35" s="38">
        <v>65</v>
      </c>
      <c r="C35" s="39">
        <v>54</v>
      </c>
      <c r="D35" s="39">
        <v>51</v>
      </c>
      <c r="E35" s="39">
        <v>61</v>
      </c>
      <c r="F35" s="39">
        <v>75</v>
      </c>
      <c r="G35" s="39">
        <v>83</v>
      </c>
      <c r="H35" s="39">
        <v>87</v>
      </c>
      <c r="I35" s="39">
        <v>90</v>
      </c>
      <c r="J35" s="39">
        <v>87</v>
      </c>
      <c r="K35" s="39">
        <v>70</v>
      </c>
      <c r="L35" s="39">
        <v>56</v>
      </c>
      <c r="M35" s="39">
        <v>48</v>
      </c>
      <c r="N35" s="39">
        <v>41</v>
      </c>
      <c r="O35" s="39">
        <v>33</v>
      </c>
      <c r="P35" s="39">
        <v>25</v>
      </c>
      <c r="Q35" s="39">
        <v>18</v>
      </c>
      <c r="R35" s="39">
        <v>19</v>
      </c>
      <c r="S35" s="39">
        <v>36</v>
      </c>
      <c r="T35" s="39">
        <v>53</v>
      </c>
      <c r="U35" s="39">
        <v>62</v>
      </c>
      <c r="V35" s="39">
        <v>69</v>
      </c>
      <c r="W35" s="39">
        <v>73</v>
      </c>
      <c r="X35" s="39">
        <v>76</v>
      </c>
      <c r="Y35" s="40">
        <v>74</v>
      </c>
      <c r="Z35" s="41">
        <f t="shared" si="0"/>
        <v>1406</v>
      </c>
      <c r="AA35" s="42">
        <f t="shared" si="1"/>
        <v>58.583333333333336</v>
      </c>
    </row>
    <row r="36" spans="1:27" ht="14.1" customHeight="1" x14ac:dyDescent="0.2">
      <c r="A36" s="37">
        <v>31</v>
      </c>
      <c r="B36" s="44">
        <v>63</v>
      </c>
      <c r="C36" s="45">
        <v>52</v>
      </c>
      <c r="D36" s="45">
        <v>47</v>
      </c>
      <c r="E36" s="45">
        <v>48</v>
      </c>
      <c r="F36" s="45">
        <v>63</v>
      </c>
      <c r="G36" s="45">
        <v>77</v>
      </c>
      <c r="H36" s="45">
        <v>84</v>
      </c>
      <c r="I36" s="45">
        <v>89</v>
      </c>
      <c r="J36" s="45">
        <v>91</v>
      </c>
      <c r="K36" s="45">
        <v>86</v>
      </c>
      <c r="L36" s="45">
        <v>69</v>
      </c>
      <c r="M36" s="45">
        <v>55</v>
      </c>
      <c r="N36" s="45">
        <v>47</v>
      </c>
      <c r="O36" s="45">
        <v>40</v>
      </c>
      <c r="P36" s="45">
        <v>32</v>
      </c>
      <c r="Q36" s="45">
        <v>23</v>
      </c>
      <c r="R36" s="45">
        <v>16</v>
      </c>
      <c r="S36" s="45">
        <v>24</v>
      </c>
      <c r="T36" s="45">
        <v>44</v>
      </c>
      <c r="U36" s="45">
        <v>59</v>
      </c>
      <c r="V36" s="45">
        <v>68</v>
      </c>
      <c r="W36" s="45">
        <v>73</v>
      </c>
      <c r="X36" s="45">
        <v>77</v>
      </c>
      <c r="Y36" s="46">
        <v>78</v>
      </c>
      <c r="Z36" s="47">
        <f t="shared" si="0"/>
        <v>1405</v>
      </c>
      <c r="AA36" s="48">
        <f t="shared" si="1"/>
        <v>58.541666666666664</v>
      </c>
    </row>
    <row r="37" spans="1:27" ht="14.1" customHeight="1" x14ac:dyDescent="0.2">
      <c r="A37" s="27" t="s">
        <v>7</v>
      </c>
      <c r="B37" s="49">
        <f t="shared" ref="B37:Y37" si="2">SUM(B6:B36)</f>
        <v>2184</v>
      </c>
      <c r="C37" s="49">
        <f t="shared" si="2"/>
        <v>2158</v>
      </c>
      <c r="D37" s="49">
        <f t="shared" si="2"/>
        <v>2107</v>
      </c>
      <c r="E37" s="49">
        <f t="shared" si="2"/>
        <v>2065</v>
      </c>
      <c r="F37" s="49">
        <f t="shared" si="2"/>
        <v>2045</v>
      </c>
      <c r="G37" s="49">
        <f t="shared" si="2"/>
        <v>2033</v>
      </c>
      <c r="H37" s="49">
        <f t="shared" si="2"/>
        <v>2013</v>
      </c>
      <c r="I37" s="49">
        <f t="shared" si="2"/>
        <v>1976</v>
      </c>
      <c r="J37" s="49">
        <f t="shared" si="2"/>
        <v>1874</v>
      </c>
      <c r="K37" s="49">
        <f t="shared" si="2"/>
        <v>1748</v>
      </c>
      <c r="L37" s="49">
        <f t="shared" si="2"/>
        <v>1596</v>
      </c>
      <c r="M37" s="49">
        <f t="shared" si="2"/>
        <v>1427</v>
      </c>
      <c r="N37" s="49">
        <f t="shared" si="2"/>
        <v>1255</v>
      </c>
      <c r="O37" s="49">
        <f t="shared" si="2"/>
        <v>1103</v>
      </c>
      <c r="P37" s="49">
        <f t="shared" si="2"/>
        <v>998</v>
      </c>
      <c r="Q37" s="50">
        <f t="shared" si="2"/>
        <v>945</v>
      </c>
      <c r="R37" s="49">
        <f t="shared" si="2"/>
        <v>944</v>
      </c>
      <c r="S37" s="49">
        <f t="shared" si="2"/>
        <v>1030</v>
      </c>
      <c r="T37" s="49">
        <f t="shared" si="2"/>
        <v>1185</v>
      </c>
      <c r="U37" s="49">
        <f t="shared" si="2"/>
        <v>1395</v>
      </c>
      <c r="V37" s="49">
        <f t="shared" si="2"/>
        <v>1653</v>
      </c>
      <c r="W37" s="49">
        <f t="shared" si="2"/>
        <v>1876</v>
      </c>
      <c r="X37" s="49">
        <f t="shared" si="2"/>
        <v>2045</v>
      </c>
      <c r="Y37" s="49">
        <f t="shared" si="2"/>
        <v>2148</v>
      </c>
      <c r="Z37" s="51">
        <f>SUM(B6:Y36)</f>
        <v>39803</v>
      </c>
      <c r="AA37" s="52">
        <f>AVERAGE(B6:Y36)</f>
        <v>53.498655913978496</v>
      </c>
    </row>
    <row r="38" spans="1:27" ht="14.1" customHeight="1" x14ac:dyDescent="0.25">
      <c r="A38" s="53" t="s">
        <v>10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 spans="1:27" ht="14.1" customHeight="1" x14ac:dyDescent="0.25">
      <c r="A39" s="55" t="str">
        <f>A1</f>
        <v>Trạm: Gò Dầu Hạ</v>
      </c>
      <c r="B39" s="2"/>
      <c r="C39" s="3"/>
      <c r="D39" s="4"/>
      <c r="E39" s="5"/>
      <c r="F39" s="5"/>
      <c r="G39" s="5"/>
      <c r="H39" s="5"/>
      <c r="I39" s="6"/>
      <c r="J39" s="4"/>
      <c r="K39" s="5"/>
      <c r="L39" s="5"/>
      <c r="M39" s="5"/>
      <c r="N39" s="5"/>
      <c r="O39" s="4"/>
      <c r="P39" s="6"/>
      <c r="Q39" s="4"/>
      <c r="R39" s="5"/>
      <c r="S39" s="5"/>
      <c r="T39" s="5"/>
      <c r="U39" s="5"/>
      <c r="V39" s="6"/>
      <c r="W39" s="4"/>
      <c r="X39" s="7"/>
      <c r="Y39" s="5"/>
      <c r="Z39" s="5"/>
      <c r="AA39" s="5"/>
    </row>
    <row r="40" spans="1:27" ht="14.1" customHeight="1" x14ac:dyDescent="0.25">
      <c r="A40" s="55" t="str">
        <f>A2</f>
        <v>Sông: Vàm Cỏ Đông</v>
      </c>
      <c r="B40" s="2"/>
      <c r="C40" s="2"/>
      <c r="D40" s="9"/>
      <c r="E40" s="10"/>
      <c r="F40" s="10"/>
      <c r="G40" s="10"/>
      <c r="H40" s="10"/>
      <c r="I40" s="11"/>
      <c r="J40" s="11"/>
      <c r="K40" s="5"/>
      <c r="L40" s="5"/>
      <c r="M40" s="12" t="s">
        <v>2</v>
      </c>
      <c r="N40" s="13"/>
      <c r="O40" s="13"/>
      <c r="P40" s="13"/>
      <c r="Q40" s="14"/>
      <c r="R40" s="14"/>
      <c r="S40" s="10"/>
      <c r="T40" s="10"/>
      <c r="U40" s="10"/>
      <c r="V40" s="11"/>
      <c r="W40" s="11"/>
      <c r="X40" s="7"/>
      <c r="Y40" s="5"/>
      <c r="Z40" s="5"/>
      <c r="AA40" s="5"/>
    </row>
    <row r="41" spans="1:27" ht="14.1" customHeight="1" x14ac:dyDescent="0.25">
      <c r="A41" s="56" t="s">
        <v>3</v>
      </c>
      <c r="B41" s="16">
        <f>B3+1</f>
        <v>2</v>
      </c>
      <c r="C41" s="16"/>
      <c r="D41" s="17"/>
      <c r="E41" s="9"/>
      <c r="F41" s="18"/>
      <c r="G41" s="10"/>
      <c r="H41" s="10"/>
      <c r="I41" s="10"/>
      <c r="J41" s="4"/>
      <c r="K41" s="5"/>
      <c r="L41" s="5"/>
      <c r="M41" s="19"/>
      <c r="N41" s="20" t="s">
        <v>4</v>
      </c>
      <c r="O41" s="22">
        <f>O3</f>
        <v>2025</v>
      </c>
      <c r="P41" s="22"/>
      <c r="Q41" s="13"/>
      <c r="R41" s="14"/>
      <c r="S41" s="18"/>
      <c r="T41" s="10"/>
      <c r="U41" s="10"/>
      <c r="V41" s="10"/>
      <c r="W41" s="4"/>
      <c r="X41" s="23" t="s">
        <v>5</v>
      </c>
      <c r="Y41" s="5"/>
      <c r="Z41" s="5"/>
      <c r="AA41" s="5"/>
    </row>
    <row r="42" spans="1:27" ht="14.1" customHeight="1" x14ac:dyDescent="0.2">
      <c r="A42" s="24" t="s">
        <v>6</v>
      </c>
      <c r="B42" s="25">
        <v>0</v>
      </c>
      <c r="C42" s="26">
        <v>1</v>
      </c>
      <c r="D42" s="25">
        <v>2</v>
      </c>
      <c r="E42" s="25">
        <v>3</v>
      </c>
      <c r="F42" s="26">
        <v>4</v>
      </c>
      <c r="G42" s="25">
        <v>5</v>
      </c>
      <c r="H42" s="25">
        <v>6</v>
      </c>
      <c r="I42" s="26">
        <v>7</v>
      </c>
      <c r="J42" s="25">
        <v>8</v>
      </c>
      <c r="K42" s="25">
        <v>9</v>
      </c>
      <c r="L42" s="25">
        <v>10</v>
      </c>
      <c r="M42" s="25">
        <v>11</v>
      </c>
      <c r="N42" s="25">
        <v>12</v>
      </c>
      <c r="O42" s="25">
        <v>13</v>
      </c>
      <c r="P42" s="26">
        <v>14</v>
      </c>
      <c r="Q42" s="25">
        <v>15</v>
      </c>
      <c r="R42" s="26">
        <v>16</v>
      </c>
      <c r="S42" s="25">
        <v>17</v>
      </c>
      <c r="T42" s="26">
        <v>18</v>
      </c>
      <c r="U42" s="25">
        <v>19</v>
      </c>
      <c r="V42" s="26">
        <v>20</v>
      </c>
      <c r="W42" s="25">
        <v>21</v>
      </c>
      <c r="X42" s="26">
        <v>22</v>
      </c>
      <c r="Y42" s="25">
        <v>23</v>
      </c>
      <c r="Z42" s="27" t="s">
        <v>7</v>
      </c>
      <c r="AA42" s="27" t="s">
        <v>8</v>
      </c>
    </row>
    <row r="43" spans="1:27" ht="14.1" customHeight="1" x14ac:dyDescent="0.2">
      <c r="A43" s="28" t="s">
        <v>9</v>
      </c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 spans="1:27" ht="14.1" customHeight="1" x14ac:dyDescent="0.2">
      <c r="A44" s="31">
        <v>1</v>
      </c>
      <c r="B44" s="32">
        <v>71</v>
      </c>
      <c r="C44" s="33">
        <v>57</v>
      </c>
      <c r="D44" s="33">
        <v>47</v>
      </c>
      <c r="E44" s="33">
        <v>43</v>
      </c>
      <c r="F44" s="33">
        <v>47</v>
      </c>
      <c r="G44" s="33">
        <v>66</v>
      </c>
      <c r="H44" s="33">
        <v>79</v>
      </c>
      <c r="I44" s="33">
        <v>85</v>
      </c>
      <c r="J44" s="33">
        <v>89</v>
      </c>
      <c r="K44" s="33">
        <v>91</v>
      </c>
      <c r="L44" s="33">
        <v>86</v>
      </c>
      <c r="M44" s="33">
        <v>68</v>
      </c>
      <c r="N44" s="33">
        <v>54</v>
      </c>
      <c r="O44" s="33">
        <v>46</v>
      </c>
      <c r="P44" s="33">
        <v>39</v>
      </c>
      <c r="Q44" s="33">
        <v>32</v>
      </c>
      <c r="R44" s="33">
        <v>22</v>
      </c>
      <c r="S44" s="33">
        <v>17</v>
      </c>
      <c r="T44" s="33">
        <v>30</v>
      </c>
      <c r="U44" s="33">
        <v>52</v>
      </c>
      <c r="V44" s="33">
        <v>64</v>
      </c>
      <c r="W44" s="33">
        <v>70</v>
      </c>
      <c r="X44" s="33">
        <v>75</v>
      </c>
      <c r="Y44" s="34">
        <v>78</v>
      </c>
      <c r="Z44" s="35">
        <f t="shared" ref="Z44:Z74" si="3">SUM(B44:Y44)</f>
        <v>1408</v>
      </c>
      <c r="AA44" s="36">
        <f t="shared" ref="AA44:AA74" si="4">AVERAGE(B44:Y44)</f>
        <v>58.666666666666664</v>
      </c>
    </row>
    <row r="45" spans="1:27" ht="14.1" customHeight="1" x14ac:dyDescent="0.2">
      <c r="A45" s="37">
        <v>2</v>
      </c>
      <c r="B45" s="38">
        <v>74</v>
      </c>
      <c r="C45" s="39">
        <v>59</v>
      </c>
      <c r="D45" s="39">
        <v>46</v>
      </c>
      <c r="E45" s="39">
        <v>40</v>
      </c>
      <c r="F45" s="39">
        <v>36</v>
      </c>
      <c r="G45" s="39">
        <v>43</v>
      </c>
      <c r="H45" s="39">
        <v>64</v>
      </c>
      <c r="I45" s="39">
        <v>75</v>
      </c>
      <c r="J45" s="39">
        <v>80</v>
      </c>
      <c r="K45" s="39">
        <v>83</v>
      </c>
      <c r="L45" s="39">
        <v>83</v>
      </c>
      <c r="M45" s="39">
        <v>72</v>
      </c>
      <c r="N45" s="39">
        <v>54</v>
      </c>
      <c r="O45" s="39">
        <v>44</v>
      </c>
      <c r="P45" s="39">
        <v>36</v>
      </c>
      <c r="Q45" s="39">
        <v>29</v>
      </c>
      <c r="R45" s="39">
        <v>21</v>
      </c>
      <c r="S45" s="39">
        <v>14</v>
      </c>
      <c r="T45" s="39">
        <v>25</v>
      </c>
      <c r="U45" s="39">
        <v>45</v>
      </c>
      <c r="V45" s="39">
        <v>59</v>
      </c>
      <c r="W45" s="39">
        <v>67</v>
      </c>
      <c r="X45" s="39">
        <v>72</v>
      </c>
      <c r="Y45" s="40">
        <v>75</v>
      </c>
      <c r="Z45" s="41">
        <f t="shared" si="3"/>
        <v>1296</v>
      </c>
      <c r="AA45" s="42">
        <f t="shared" si="4"/>
        <v>54</v>
      </c>
    </row>
    <row r="46" spans="1:27" ht="14.1" customHeight="1" x14ac:dyDescent="0.2">
      <c r="A46" s="37">
        <v>3</v>
      </c>
      <c r="B46" s="38">
        <v>74</v>
      </c>
      <c r="C46" s="39">
        <v>60</v>
      </c>
      <c r="D46" s="39">
        <v>45</v>
      </c>
      <c r="E46" s="39">
        <v>38</v>
      </c>
      <c r="F46" s="39">
        <v>32</v>
      </c>
      <c r="G46" s="39">
        <v>29</v>
      </c>
      <c r="H46" s="39">
        <v>41</v>
      </c>
      <c r="I46" s="39">
        <v>61</v>
      </c>
      <c r="J46" s="39">
        <v>67</v>
      </c>
      <c r="K46" s="39">
        <v>72</v>
      </c>
      <c r="L46" s="39">
        <v>75</v>
      </c>
      <c r="M46" s="39">
        <v>73</v>
      </c>
      <c r="N46" s="39">
        <v>58</v>
      </c>
      <c r="O46" s="39">
        <v>42</v>
      </c>
      <c r="P46" s="39">
        <v>34</v>
      </c>
      <c r="Q46" s="39">
        <v>26</v>
      </c>
      <c r="R46" s="39">
        <v>18</v>
      </c>
      <c r="S46" s="39">
        <v>10</v>
      </c>
      <c r="T46" s="39">
        <v>11</v>
      </c>
      <c r="U46" s="39">
        <v>33</v>
      </c>
      <c r="V46" s="39">
        <v>51</v>
      </c>
      <c r="W46" s="39">
        <v>59</v>
      </c>
      <c r="X46" s="39">
        <v>65</v>
      </c>
      <c r="Y46" s="40">
        <v>69</v>
      </c>
      <c r="Z46" s="41">
        <f t="shared" si="3"/>
        <v>1143</v>
      </c>
      <c r="AA46" s="42">
        <f t="shared" si="4"/>
        <v>47.625</v>
      </c>
    </row>
    <row r="47" spans="1:27" ht="14.1" customHeight="1" x14ac:dyDescent="0.2">
      <c r="A47" s="37">
        <v>4</v>
      </c>
      <c r="B47" s="38">
        <v>72</v>
      </c>
      <c r="C47" s="39">
        <v>66</v>
      </c>
      <c r="D47" s="39">
        <v>50</v>
      </c>
      <c r="E47" s="39">
        <v>38</v>
      </c>
      <c r="F47" s="39">
        <v>31</v>
      </c>
      <c r="G47" s="39">
        <v>26</v>
      </c>
      <c r="H47" s="39">
        <v>22</v>
      </c>
      <c r="I47" s="39">
        <v>30</v>
      </c>
      <c r="J47" s="39">
        <v>42</v>
      </c>
      <c r="K47" s="39">
        <v>54</v>
      </c>
      <c r="L47" s="39">
        <v>60</v>
      </c>
      <c r="M47" s="39">
        <v>64</v>
      </c>
      <c r="N47" s="39">
        <v>64</v>
      </c>
      <c r="O47" s="39">
        <v>54</v>
      </c>
      <c r="P47" s="39">
        <v>37</v>
      </c>
      <c r="Q47" s="39">
        <v>26</v>
      </c>
      <c r="R47" s="39">
        <v>19</v>
      </c>
      <c r="S47" s="39">
        <v>12</v>
      </c>
      <c r="T47" s="39">
        <v>9</v>
      </c>
      <c r="U47" s="39">
        <v>25</v>
      </c>
      <c r="V47" s="39">
        <v>47</v>
      </c>
      <c r="W47" s="39">
        <v>57</v>
      </c>
      <c r="X47" s="39">
        <v>63</v>
      </c>
      <c r="Y47" s="40">
        <v>69</v>
      </c>
      <c r="Z47" s="41">
        <f t="shared" si="3"/>
        <v>1037</v>
      </c>
      <c r="AA47" s="42">
        <f t="shared" si="4"/>
        <v>43.208333333333336</v>
      </c>
    </row>
    <row r="48" spans="1:27" ht="14.1" customHeight="1" x14ac:dyDescent="0.2">
      <c r="A48" s="37">
        <v>5</v>
      </c>
      <c r="B48" s="38">
        <v>73</v>
      </c>
      <c r="C48" s="39">
        <v>74</v>
      </c>
      <c r="D48" s="39">
        <v>67</v>
      </c>
      <c r="E48" s="39">
        <v>51</v>
      </c>
      <c r="F48" s="39">
        <v>40</v>
      </c>
      <c r="G48" s="39">
        <v>33</v>
      </c>
      <c r="H48" s="39">
        <v>27</v>
      </c>
      <c r="I48" s="39">
        <v>22</v>
      </c>
      <c r="J48" s="39">
        <v>22</v>
      </c>
      <c r="K48" s="39">
        <v>36</v>
      </c>
      <c r="L48" s="39">
        <v>50</v>
      </c>
      <c r="M48" s="39">
        <v>57</v>
      </c>
      <c r="N48" s="39">
        <v>60</v>
      </c>
      <c r="O48" s="39">
        <v>61</v>
      </c>
      <c r="P48" s="39">
        <v>54</v>
      </c>
      <c r="Q48" s="39">
        <v>39</v>
      </c>
      <c r="R48" s="39">
        <v>28</v>
      </c>
      <c r="S48" s="39">
        <v>22</v>
      </c>
      <c r="T48" s="39">
        <v>20</v>
      </c>
      <c r="U48" s="39">
        <v>25</v>
      </c>
      <c r="V48" s="39">
        <v>44</v>
      </c>
      <c r="W48" s="39">
        <v>56</v>
      </c>
      <c r="X48" s="39">
        <v>63</v>
      </c>
      <c r="Y48" s="40">
        <v>68</v>
      </c>
      <c r="Z48" s="41">
        <f t="shared" si="3"/>
        <v>1092</v>
      </c>
      <c r="AA48" s="42">
        <f t="shared" si="4"/>
        <v>45.5</v>
      </c>
    </row>
    <row r="49" spans="1:27" ht="14.1" customHeight="1" x14ac:dyDescent="0.2">
      <c r="A49" s="37">
        <v>6</v>
      </c>
      <c r="B49" s="38">
        <v>72</v>
      </c>
      <c r="C49" s="39">
        <v>75</v>
      </c>
      <c r="D49" s="39">
        <v>71</v>
      </c>
      <c r="E49" s="39">
        <v>57</v>
      </c>
      <c r="F49" s="39">
        <v>43</v>
      </c>
      <c r="G49" s="39">
        <v>36</v>
      </c>
      <c r="H49" s="39">
        <v>30</v>
      </c>
      <c r="I49" s="39">
        <v>23</v>
      </c>
      <c r="J49" s="39">
        <v>17</v>
      </c>
      <c r="K49" s="39">
        <v>16</v>
      </c>
      <c r="L49" s="39">
        <v>23</v>
      </c>
      <c r="M49" s="39">
        <v>35</v>
      </c>
      <c r="N49" s="39">
        <v>44</v>
      </c>
      <c r="O49" s="39">
        <v>49</v>
      </c>
      <c r="P49" s="39">
        <v>51</v>
      </c>
      <c r="Q49" s="39">
        <v>50</v>
      </c>
      <c r="R49" s="39">
        <v>44</v>
      </c>
      <c r="S49" s="39">
        <v>35</v>
      </c>
      <c r="T49" s="39">
        <v>31</v>
      </c>
      <c r="U49" s="39">
        <v>33</v>
      </c>
      <c r="V49" s="39">
        <v>42</v>
      </c>
      <c r="W49" s="39">
        <v>52</v>
      </c>
      <c r="X49" s="39">
        <v>60</v>
      </c>
      <c r="Y49" s="40">
        <v>66</v>
      </c>
      <c r="Z49" s="41">
        <f t="shared" si="3"/>
        <v>1055</v>
      </c>
      <c r="AA49" s="42">
        <f t="shared" si="4"/>
        <v>43.958333333333336</v>
      </c>
    </row>
    <row r="50" spans="1:27" ht="14.1" customHeight="1" x14ac:dyDescent="0.2">
      <c r="A50" s="37">
        <v>7</v>
      </c>
      <c r="B50" s="38">
        <v>70</v>
      </c>
      <c r="C50" s="39">
        <v>74</v>
      </c>
      <c r="D50" s="39">
        <v>74</v>
      </c>
      <c r="E50" s="39">
        <v>65</v>
      </c>
      <c r="F50" s="39">
        <v>50</v>
      </c>
      <c r="G50" s="39">
        <v>40</v>
      </c>
      <c r="H50" s="39">
        <v>34</v>
      </c>
      <c r="I50" s="39">
        <v>27</v>
      </c>
      <c r="J50" s="39">
        <v>19</v>
      </c>
      <c r="K50" s="39">
        <v>11</v>
      </c>
      <c r="L50" s="39">
        <v>7</v>
      </c>
      <c r="M50" s="39">
        <v>11</v>
      </c>
      <c r="N50" s="39">
        <v>22</v>
      </c>
      <c r="O50" s="39">
        <v>34</v>
      </c>
      <c r="P50" s="39">
        <v>42</v>
      </c>
      <c r="Q50" s="39">
        <v>47</v>
      </c>
      <c r="R50" s="39">
        <v>50</v>
      </c>
      <c r="S50" s="39">
        <v>53</v>
      </c>
      <c r="T50" s="39">
        <v>54</v>
      </c>
      <c r="U50" s="39">
        <v>53</v>
      </c>
      <c r="V50" s="39">
        <v>52</v>
      </c>
      <c r="W50" s="39">
        <v>54</v>
      </c>
      <c r="X50" s="39">
        <v>60</v>
      </c>
      <c r="Y50" s="40">
        <v>66</v>
      </c>
      <c r="Z50" s="41">
        <f t="shared" si="3"/>
        <v>1069</v>
      </c>
      <c r="AA50" s="42">
        <f t="shared" si="4"/>
        <v>44.541666666666664</v>
      </c>
    </row>
    <row r="51" spans="1:27" ht="14.1" customHeight="1" x14ac:dyDescent="0.2">
      <c r="A51" s="37">
        <v>8</v>
      </c>
      <c r="B51" s="38">
        <v>71</v>
      </c>
      <c r="C51" s="39">
        <v>75</v>
      </c>
      <c r="D51" s="39">
        <v>78</v>
      </c>
      <c r="E51" s="39">
        <v>78</v>
      </c>
      <c r="F51" s="39">
        <v>69</v>
      </c>
      <c r="G51" s="39">
        <v>55</v>
      </c>
      <c r="H51" s="39">
        <v>45</v>
      </c>
      <c r="I51" s="39">
        <v>38</v>
      </c>
      <c r="J51" s="39">
        <v>29</v>
      </c>
      <c r="K51" s="39">
        <v>22</v>
      </c>
      <c r="L51" s="39">
        <v>13</v>
      </c>
      <c r="M51" s="39">
        <v>6</v>
      </c>
      <c r="N51" s="39">
        <v>5</v>
      </c>
      <c r="O51" s="39">
        <v>14</v>
      </c>
      <c r="P51" s="39">
        <v>29</v>
      </c>
      <c r="Q51" s="39">
        <v>41</v>
      </c>
      <c r="R51" s="39">
        <v>48</v>
      </c>
      <c r="S51" s="39">
        <v>53</v>
      </c>
      <c r="T51" s="39">
        <v>58</v>
      </c>
      <c r="U51" s="39">
        <v>62</v>
      </c>
      <c r="V51" s="39">
        <v>65</v>
      </c>
      <c r="W51" s="39">
        <v>67</v>
      </c>
      <c r="X51" s="39">
        <v>69</v>
      </c>
      <c r="Y51" s="40">
        <v>72</v>
      </c>
      <c r="Z51" s="41">
        <f t="shared" si="3"/>
        <v>1162</v>
      </c>
      <c r="AA51" s="42">
        <f t="shared" si="4"/>
        <v>48.416666666666664</v>
      </c>
    </row>
    <row r="52" spans="1:27" ht="14.1" customHeight="1" x14ac:dyDescent="0.2">
      <c r="A52" s="37">
        <v>9</v>
      </c>
      <c r="B52" s="38">
        <v>76</v>
      </c>
      <c r="C52" s="39">
        <v>80</v>
      </c>
      <c r="D52" s="39">
        <v>83</v>
      </c>
      <c r="E52" s="39">
        <v>85</v>
      </c>
      <c r="F52" s="39">
        <v>82</v>
      </c>
      <c r="G52" s="39">
        <v>71</v>
      </c>
      <c r="H52" s="39">
        <v>58</v>
      </c>
      <c r="I52" s="39">
        <v>50</v>
      </c>
      <c r="J52" s="39">
        <v>40</v>
      </c>
      <c r="K52" s="39">
        <v>32</v>
      </c>
      <c r="L52" s="39">
        <v>24</v>
      </c>
      <c r="M52" s="39">
        <v>17</v>
      </c>
      <c r="N52" s="39">
        <v>9</v>
      </c>
      <c r="O52" s="39">
        <v>7</v>
      </c>
      <c r="P52" s="39">
        <v>19</v>
      </c>
      <c r="Q52" s="39">
        <v>37</v>
      </c>
      <c r="R52" s="39">
        <v>49</v>
      </c>
      <c r="S52" s="39">
        <v>56</v>
      </c>
      <c r="T52" s="39">
        <v>61</v>
      </c>
      <c r="U52" s="39">
        <v>65</v>
      </c>
      <c r="V52" s="39">
        <v>67</v>
      </c>
      <c r="W52" s="39">
        <v>69</v>
      </c>
      <c r="X52" s="39">
        <v>67</v>
      </c>
      <c r="Y52" s="40">
        <v>67</v>
      </c>
      <c r="Z52" s="41">
        <f t="shared" si="3"/>
        <v>1271</v>
      </c>
      <c r="AA52" s="42">
        <f t="shared" si="4"/>
        <v>52.958333333333336</v>
      </c>
    </row>
    <row r="53" spans="1:27" ht="14.1" customHeight="1" x14ac:dyDescent="0.2">
      <c r="A53" s="37">
        <v>10</v>
      </c>
      <c r="B53" s="38">
        <v>69</v>
      </c>
      <c r="C53" s="39">
        <v>74</v>
      </c>
      <c r="D53" s="39">
        <v>80</v>
      </c>
      <c r="E53" s="39">
        <v>83</v>
      </c>
      <c r="F53" s="39">
        <v>86</v>
      </c>
      <c r="G53" s="39">
        <v>85</v>
      </c>
      <c r="H53" s="39">
        <v>76</v>
      </c>
      <c r="I53" s="39">
        <v>61</v>
      </c>
      <c r="J53" s="39">
        <v>50</v>
      </c>
      <c r="K53" s="39">
        <v>43</v>
      </c>
      <c r="L53" s="39">
        <v>36</v>
      </c>
      <c r="M53" s="39">
        <v>28</v>
      </c>
      <c r="N53" s="39">
        <v>20</v>
      </c>
      <c r="O53" s="39">
        <v>13</v>
      </c>
      <c r="P53" s="39">
        <v>14</v>
      </c>
      <c r="Q53" s="39">
        <v>29</v>
      </c>
      <c r="R53" s="39">
        <v>46</v>
      </c>
      <c r="S53" s="39">
        <v>55</v>
      </c>
      <c r="T53" s="39">
        <v>61</v>
      </c>
      <c r="U53" s="39">
        <v>66</v>
      </c>
      <c r="V53" s="39">
        <v>70</v>
      </c>
      <c r="W53" s="39">
        <v>72</v>
      </c>
      <c r="X53" s="39">
        <v>71</v>
      </c>
      <c r="Y53" s="40">
        <v>67</v>
      </c>
      <c r="Z53" s="41">
        <f t="shared" si="3"/>
        <v>1355</v>
      </c>
      <c r="AA53" s="42">
        <f t="shared" si="4"/>
        <v>56.458333333333336</v>
      </c>
    </row>
    <row r="54" spans="1:27" ht="14.1" customHeight="1" x14ac:dyDescent="0.2">
      <c r="A54" s="37">
        <v>11</v>
      </c>
      <c r="B54" s="38">
        <v>63</v>
      </c>
      <c r="C54" s="39">
        <v>66</v>
      </c>
      <c r="D54" s="39">
        <v>74</v>
      </c>
      <c r="E54" s="39">
        <v>80</v>
      </c>
      <c r="F54" s="39">
        <v>84</v>
      </c>
      <c r="G54" s="39">
        <v>87</v>
      </c>
      <c r="H54" s="39">
        <v>85</v>
      </c>
      <c r="I54" s="39">
        <v>73</v>
      </c>
      <c r="J54" s="39">
        <v>56</v>
      </c>
      <c r="K54" s="39">
        <v>47</v>
      </c>
      <c r="L54" s="39">
        <v>39</v>
      </c>
      <c r="M54" s="39">
        <v>31</v>
      </c>
      <c r="N54" s="39">
        <v>24</v>
      </c>
      <c r="O54" s="39">
        <v>16</v>
      </c>
      <c r="P54" s="39">
        <v>8</v>
      </c>
      <c r="Q54" s="39">
        <v>13</v>
      </c>
      <c r="R54" s="39">
        <v>31</v>
      </c>
      <c r="S54" s="39">
        <v>47</v>
      </c>
      <c r="T54" s="39">
        <v>56</v>
      </c>
      <c r="U54" s="39">
        <v>61</v>
      </c>
      <c r="V54" s="39">
        <v>67</v>
      </c>
      <c r="W54" s="39">
        <v>70</v>
      </c>
      <c r="X54" s="39">
        <v>71</v>
      </c>
      <c r="Y54" s="40">
        <v>65</v>
      </c>
      <c r="Z54" s="41">
        <f t="shared" si="3"/>
        <v>1314</v>
      </c>
      <c r="AA54" s="42">
        <f t="shared" si="4"/>
        <v>54.75</v>
      </c>
    </row>
    <row r="55" spans="1:27" ht="14.1" customHeight="1" x14ac:dyDescent="0.2">
      <c r="A55" s="37">
        <v>12</v>
      </c>
      <c r="B55" s="38">
        <v>55</v>
      </c>
      <c r="C55" s="39">
        <v>50</v>
      </c>
      <c r="D55" s="39">
        <v>52</v>
      </c>
      <c r="E55" s="39">
        <v>65</v>
      </c>
      <c r="F55" s="39">
        <v>77</v>
      </c>
      <c r="G55" s="39">
        <v>83</v>
      </c>
      <c r="H55" s="39">
        <v>85</v>
      </c>
      <c r="I55" s="39">
        <v>85</v>
      </c>
      <c r="J55" s="39">
        <v>74</v>
      </c>
      <c r="K55" s="39">
        <v>57</v>
      </c>
      <c r="L55" s="39">
        <v>47</v>
      </c>
      <c r="M55" s="39">
        <v>40</v>
      </c>
      <c r="N55" s="39">
        <v>34</v>
      </c>
      <c r="O55" s="39">
        <v>27</v>
      </c>
      <c r="P55" s="39">
        <v>19</v>
      </c>
      <c r="Q55" s="39">
        <v>12</v>
      </c>
      <c r="R55" s="39">
        <v>18</v>
      </c>
      <c r="S55" s="39">
        <v>37</v>
      </c>
      <c r="T55" s="39">
        <v>51</v>
      </c>
      <c r="U55" s="39">
        <v>59</v>
      </c>
      <c r="V55" s="39">
        <v>65</v>
      </c>
      <c r="W55" s="39">
        <v>68</v>
      </c>
      <c r="X55" s="39">
        <v>68</v>
      </c>
      <c r="Y55" s="40">
        <v>58</v>
      </c>
      <c r="Z55" s="41">
        <f t="shared" si="3"/>
        <v>1286</v>
      </c>
      <c r="AA55" s="42">
        <f t="shared" si="4"/>
        <v>53.583333333333336</v>
      </c>
    </row>
    <row r="56" spans="1:27" ht="14.1" customHeight="1" x14ac:dyDescent="0.2">
      <c r="A56" s="37">
        <v>13</v>
      </c>
      <c r="B56" s="38">
        <v>44</v>
      </c>
      <c r="C56" s="39">
        <v>38</v>
      </c>
      <c r="D56" s="39">
        <v>37</v>
      </c>
      <c r="E56" s="39">
        <v>46</v>
      </c>
      <c r="F56" s="39">
        <v>63</v>
      </c>
      <c r="G56" s="39">
        <v>72</v>
      </c>
      <c r="H56" s="39">
        <v>77</v>
      </c>
      <c r="I56" s="39">
        <v>79</v>
      </c>
      <c r="J56" s="39">
        <v>78</v>
      </c>
      <c r="K56" s="39">
        <v>66</v>
      </c>
      <c r="L56" s="39">
        <v>49</v>
      </c>
      <c r="M56" s="39">
        <v>39</v>
      </c>
      <c r="N56" s="39">
        <v>32</v>
      </c>
      <c r="O56" s="39">
        <v>25</v>
      </c>
      <c r="P56" s="39">
        <v>16</v>
      </c>
      <c r="Q56" s="39">
        <v>8</v>
      </c>
      <c r="R56" s="39">
        <v>8</v>
      </c>
      <c r="S56" s="39">
        <v>25</v>
      </c>
      <c r="T56" s="39">
        <v>45</v>
      </c>
      <c r="U56" s="39">
        <v>55</v>
      </c>
      <c r="V56" s="39">
        <v>60</v>
      </c>
      <c r="W56" s="39">
        <v>64</v>
      </c>
      <c r="X56" s="39">
        <v>66</v>
      </c>
      <c r="Y56" s="40">
        <v>58</v>
      </c>
      <c r="Z56" s="41">
        <f t="shared" si="3"/>
        <v>1150</v>
      </c>
      <c r="AA56" s="42">
        <f t="shared" si="4"/>
        <v>47.916666666666664</v>
      </c>
    </row>
    <row r="57" spans="1:27" ht="14.1" customHeight="1" x14ac:dyDescent="0.2">
      <c r="A57" s="37">
        <v>14</v>
      </c>
      <c r="B57" s="38">
        <v>41</v>
      </c>
      <c r="C57" s="39">
        <v>32</v>
      </c>
      <c r="D57" s="39">
        <v>27</v>
      </c>
      <c r="E57" s="39">
        <v>27</v>
      </c>
      <c r="F57" s="39">
        <v>41</v>
      </c>
      <c r="G57" s="39">
        <v>59</v>
      </c>
      <c r="H57" s="39">
        <v>68</v>
      </c>
      <c r="I57" s="39">
        <v>73</v>
      </c>
      <c r="J57" s="39">
        <v>77</v>
      </c>
      <c r="K57" s="39">
        <v>74</v>
      </c>
      <c r="L57" s="39">
        <v>58</v>
      </c>
      <c r="M57" s="39">
        <v>42</v>
      </c>
      <c r="N57" s="39">
        <v>34</v>
      </c>
      <c r="O57" s="39">
        <v>27</v>
      </c>
      <c r="P57" s="39">
        <v>19</v>
      </c>
      <c r="Q57" s="39">
        <v>10</v>
      </c>
      <c r="R57" s="39">
        <v>4</v>
      </c>
      <c r="S57" s="39">
        <v>15</v>
      </c>
      <c r="T57" s="39">
        <v>36</v>
      </c>
      <c r="U57" s="39">
        <v>50</v>
      </c>
      <c r="V57" s="39">
        <v>58</v>
      </c>
      <c r="W57" s="39">
        <v>63</v>
      </c>
      <c r="X57" s="39">
        <v>65</v>
      </c>
      <c r="Y57" s="40">
        <v>58</v>
      </c>
      <c r="Z57" s="41">
        <f t="shared" si="3"/>
        <v>1058</v>
      </c>
      <c r="AA57" s="42">
        <f t="shared" si="4"/>
        <v>44.083333333333336</v>
      </c>
    </row>
    <row r="58" spans="1:27" ht="14.1" customHeight="1" x14ac:dyDescent="0.2">
      <c r="A58" s="37">
        <v>15</v>
      </c>
      <c r="B58" s="38">
        <v>42</v>
      </c>
      <c r="C58" s="39">
        <v>32</v>
      </c>
      <c r="D58" s="39">
        <v>26</v>
      </c>
      <c r="E58" s="39">
        <v>22</v>
      </c>
      <c r="F58" s="39">
        <v>28</v>
      </c>
      <c r="G58" s="39">
        <v>48</v>
      </c>
      <c r="H58" s="39">
        <v>61</v>
      </c>
      <c r="I58" s="39">
        <v>67</v>
      </c>
      <c r="J58" s="39">
        <v>71</v>
      </c>
      <c r="K58" s="39">
        <v>74</v>
      </c>
      <c r="L58" s="39">
        <v>70</v>
      </c>
      <c r="M58" s="39">
        <v>51</v>
      </c>
      <c r="N58" s="39">
        <v>38</v>
      </c>
      <c r="O58" s="39">
        <v>30</v>
      </c>
      <c r="P58" s="39">
        <v>22</v>
      </c>
      <c r="Q58" s="39">
        <v>14</v>
      </c>
      <c r="R58" s="39">
        <v>5</v>
      </c>
      <c r="S58" s="39">
        <v>8</v>
      </c>
      <c r="T58" s="39">
        <v>31</v>
      </c>
      <c r="U58" s="39">
        <v>47</v>
      </c>
      <c r="V58" s="39">
        <v>56</v>
      </c>
      <c r="W58" s="39">
        <v>61</v>
      </c>
      <c r="X58" s="39">
        <v>65</v>
      </c>
      <c r="Y58" s="40">
        <v>65</v>
      </c>
      <c r="Z58" s="41">
        <f t="shared" si="3"/>
        <v>1034</v>
      </c>
      <c r="AA58" s="42">
        <f t="shared" si="4"/>
        <v>43.083333333333336</v>
      </c>
    </row>
    <row r="59" spans="1:27" ht="14.1" customHeight="1" x14ac:dyDescent="0.2">
      <c r="A59" s="37">
        <v>16</v>
      </c>
      <c r="B59" s="38">
        <v>51</v>
      </c>
      <c r="C59" s="39">
        <v>36</v>
      </c>
      <c r="D59" s="39">
        <v>29</v>
      </c>
      <c r="E59" s="39">
        <v>23</v>
      </c>
      <c r="F59" s="39">
        <v>21</v>
      </c>
      <c r="G59" s="39">
        <v>34</v>
      </c>
      <c r="H59" s="39">
        <v>54</v>
      </c>
      <c r="I59" s="39">
        <v>63</v>
      </c>
      <c r="J59" s="39">
        <v>69</v>
      </c>
      <c r="K59" s="39">
        <v>73</v>
      </c>
      <c r="L59" s="39">
        <v>73</v>
      </c>
      <c r="M59" s="39">
        <v>62</v>
      </c>
      <c r="N59" s="39">
        <v>44</v>
      </c>
      <c r="O59" s="39">
        <v>34</v>
      </c>
      <c r="P59" s="39">
        <v>27</v>
      </c>
      <c r="Q59" s="39">
        <v>18</v>
      </c>
      <c r="R59" s="39">
        <v>11</v>
      </c>
      <c r="S59" s="39">
        <v>12</v>
      </c>
      <c r="T59" s="39">
        <v>33</v>
      </c>
      <c r="U59" s="39">
        <v>50</v>
      </c>
      <c r="V59" s="39">
        <v>60</v>
      </c>
      <c r="W59" s="39">
        <v>66</v>
      </c>
      <c r="X59" s="39">
        <v>71</v>
      </c>
      <c r="Y59" s="40">
        <v>72</v>
      </c>
      <c r="Z59" s="41">
        <f t="shared" si="3"/>
        <v>1086</v>
      </c>
      <c r="AA59" s="42">
        <f t="shared" si="4"/>
        <v>45.25</v>
      </c>
    </row>
    <row r="60" spans="1:27" ht="14.1" customHeight="1" x14ac:dyDescent="0.2">
      <c r="A60" s="37">
        <v>17</v>
      </c>
      <c r="B60" s="38">
        <v>64</v>
      </c>
      <c r="C60" s="39">
        <v>48</v>
      </c>
      <c r="D60" s="39">
        <v>38</v>
      </c>
      <c r="E60" s="39">
        <v>32</v>
      </c>
      <c r="F60" s="39">
        <v>27</v>
      </c>
      <c r="G60" s="39">
        <v>26</v>
      </c>
      <c r="H60" s="39">
        <v>40</v>
      </c>
      <c r="I60" s="39">
        <v>56</v>
      </c>
      <c r="J60" s="39">
        <v>63</v>
      </c>
      <c r="K60" s="39">
        <v>68</v>
      </c>
      <c r="L60" s="39">
        <v>70</v>
      </c>
      <c r="M60" s="39">
        <v>65</v>
      </c>
      <c r="N60" s="39">
        <v>47</v>
      </c>
      <c r="O60" s="39">
        <v>34</v>
      </c>
      <c r="P60" s="39">
        <v>27</v>
      </c>
      <c r="Q60" s="39">
        <v>19</v>
      </c>
      <c r="R60" s="39">
        <v>10</v>
      </c>
      <c r="S60" s="39">
        <v>5</v>
      </c>
      <c r="T60" s="39">
        <v>18</v>
      </c>
      <c r="U60" s="39">
        <v>39</v>
      </c>
      <c r="V60" s="39">
        <v>51</v>
      </c>
      <c r="W60" s="39">
        <v>57</v>
      </c>
      <c r="X60" s="39">
        <v>62</v>
      </c>
      <c r="Y60" s="40">
        <v>65</v>
      </c>
      <c r="Z60" s="41">
        <f t="shared" si="3"/>
        <v>1031</v>
      </c>
      <c r="AA60" s="42">
        <f t="shared" si="4"/>
        <v>42.958333333333336</v>
      </c>
    </row>
    <row r="61" spans="1:27" ht="14.1" customHeight="1" x14ac:dyDescent="0.2">
      <c r="A61" s="37">
        <v>18</v>
      </c>
      <c r="B61" s="38">
        <v>63</v>
      </c>
      <c r="C61" s="39">
        <v>48</v>
      </c>
      <c r="D61" s="39">
        <v>34</v>
      </c>
      <c r="E61" s="39">
        <v>27</v>
      </c>
      <c r="F61" s="39">
        <v>20</v>
      </c>
      <c r="G61" s="39">
        <v>16</v>
      </c>
      <c r="H61" s="39">
        <v>18</v>
      </c>
      <c r="I61" s="39">
        <v>32</v>
      </c>
      <c r="J61" s="39">
        <v>45</v>
      </c>
      <c r="K61" s="39">
        <v>52</v>
      </c>
      <c r="L61" s="39">
        <v>55</v>
      </c>
      <c r="M61" s="39">
        <v>56</v>
      </c>
      <c r="N61" s="39">
        <v>48</v>
      </c>
      <c r="O61" s="39">
        <v>31</v>
      </c>
      <c r="P61" s="39">
        <v>21</v>
      </c>
      <c r="Q61" s="39">
        <v>13</v>
      </c>
      <c r="R61" s="39">
        <v>7</v>
      </c>
      <c r="S61" s="39">
        <v>3</v>
      </c>
      <c r="T61" s="39">
        <v>15</v>
      </c>
      <c r="U61" s="39">
        <v>35</v>
      </c>
      <c r="V61" s="39">
        <v>48</v>
      </c>
      <c r="W61" s="39">
        <v>55</v>
      </c>
      <c r="X61" s="39">
        <v>60</v>
      </c>
      <c r="Y61" s="40">
        <v>63</v>
      </c>
      <c r="Z61" s="41">
        <f t="shared" si="3"/>
        <v>865</v>
      </c>
      <c r="AA61" s="42">
        <f t="shared" si="4"/>
        <v>36.041666666666664</v>
      </c>
    </row>
    <row r="62" spans="1:27" ht="14.1" customHeight="1" x14ac:dyDescent="0.2">
      <c r="A62" s="37">
        <v>19</v>
      </c>
      <c r="B62" s="38">
        <v>63</v>
      </c>
      <c r="C62" s="39">
        <v>52</v>
      </c>
      <c r="D62" s="39">
        <v>37</v>
      </c>
      <c r="E62" s="39">
        <v>28</v>
      </c>
      <c r="F62" s="39">
        <v>22</v>
      </c>
      <c r="G62" s="39">
        <v>15</v>
      </c>
      <c r="H62" s="39">
        <v>11</v>
      </c>
      <c r="I62" s="39">
        <v>13</v>
      </c>
      <c r="J62" s="39">
        <v>28</v>
      </c>
      <c r="K62" s="39">
        <v>41</v>
      </c>
      <c r="L62" s="39">
        <v>47</v>
      </c>
      <c r="M62" s="39">
        <v>49</v>
      </c>
      <c r="N62" s="39">
        <v>48</v>
      </c>
      <c r="O62" s="39">
        <v>36</v>
      </c>
      <c r="P62" s="39">
        <v>28</v>
      </c>
      <c r="Q62" s="39">
        <v>14</v>
      </c>
      <c r="R62" s="39">
        <v>8</v>
      </c>
      <c r="S62" s="39">
        <v>5</v>
      </c>
      <c r="T62" s="39">
        <v>10</v>
      </c>
      <c r="U62" s="39">
        <v>28</v>
      </c>
      <c r="V62" s="39">
        <v>43</v>
      </c>
      <c r="W62" s="39">
        <v>51</v>
      </c>
      <c r="X62" s="39">
        <v>54</v>
      </c>
      <c r="Y62" s="40">
        <v>60</v>
      </c>
      <c r="Z62" s="41">
        <f t="shared" si="3"/>
        <v>791</v>
      </c>
      <c r="AA62" s="42">
        <f t="shared" si="4"/>
        <v>32.958333333333336</v>
      </c>
    </row>
    <row r="63" spans="1:27" ht="14.1" customHeight="1" x14ac:dyDescent="0.2">
      <c r="A63" s="37">
        <v>20</v>
      </c>
      <c r="B63" s="38">
        <v>62</v>
      </c>
      <c r="C63" s="39">
        <v>54</v>
      </c>
      <c r="D63" s="39">
        <v>38</v>
      </c>
      <c r="E63" s="39">
        <v>27</v>
      </c>
      <c r="F63" s="39">
        <v>21</v>
      </c>
      <c r="G63" s="39">
        <v>14</v>
      </c>
      <c r="H63" s="39">
        <v>7</v>
      </c>
      <c r="I63" s="39">
        <v>5</v>
      </c>
      <c r="J63" s="39">
        <v>10</v>
      </c>
      <c r="K63" s="39">
        <v>22</v>
      </c>
      <c r="L63" s="39">
        <v>34</v>
      </c>
      <c r="M63" s="39">
        <v>40</v>
      </c>
      <c r="N63" s="39">
        <v>47</v>
      </c>
      <c r="O63" s="39">
        <v>42</v>
      </c>
      <c r="P63" s="39">
        <v>35</v>
      </c>
      <c r="Q63" s="39">
        <v>25</v>
      </c>
      <c r="R63" s="39">
        <v>18</v>
      </c>
      <c r="S63" s="39">
        <v>14</v>
      </c>
      <c r="T63" s="39">
        <v>16</v>
      </c>
      <c r="U63" s="39">
        <v>30</v>
      </c>
      <c r="V63" s="39">
        <v>44</v>
      </c>
      <c r="W63" s="39">
        <v>53</v>
      </c>
      <c r="X63" s="39">
        <v>59</v>
      </c>
      <c r="Y63" s="40">
        <v>63</v>
      </c>
      <c r="Z63" s="41">
        <f t="shared" si="3"/>
        <v>780</v>
      </c>
      <c r="AA63" s="42">
        <f t="shared" si="4"/>
        <v>32.5</v>
      </c>
    </row>
    <row r="64" spans="1:27" ht="14.1" customHeight="1" x14ac:dyDescent="0.2">
      <c r="A64" s="37">
        <v>21</v>
      </c>
      <c r="B64" s="38">
        <v>66</v>
      </c>
      <c r="C64" s="39">
        <v>64</v>
      </c>
      <c r="D64" s="39">
        <v>53</v>
      </c>
      <c r="E64" s="39">
        <v>40</v>
      </c>
      <c r="F64" s="39">
        <v>31</v>
      </c>
      <c r="G64" s="39">
        <v>25</v>
      </c>
      <c r="H64" s="39">
        <v>17</v>
      </c>
      <c r="I64" s="39">
        <v>11</v>
      </c>
      <c r="J64" s="39">
        <v>6</v>
      </c>
      <c r="K64" s="39">
        <v>8</v>
      </c>
      <c r="L64" s="39">
        <v>16</v>
      </c>
      <c r="M64" s="39">
        <v>27</v>
      </c>
      <c r="N64" s="39">
        <v>33</v>
      </c>
      <c r="O64" s="39">
        <v>37</v>
      </c>
      <c r="P64" s="39">
        <v>41</v>
      </c>
      <c r="Q64" s="39">
        <v>43</v>
      </c>
      <c r="R64" s="39">
        <v>43</v>
      </c>
      <c r="S64" s="39">
        <v>43</v>
      </c>
      <c r="T64" s="39">
        <v>45</v>
      </c>
      <c r="U64" s="39">
        <v>50</v>
      </c>
      <c r="V64" s="39">
        <v>56</v>
      </c>
      <c r="W64" s="39">
        <v>63</v>
      </c>
      <c r="X64" s="39">
        <v>67</v>
      </c>
      <c r="Y64" s="40">
        <v>71</v>
      </c>
      <c r="Z64" s="41">
        <f t="shared" si="3"/>
        <v>956</v>
      </c>
      <c r="AA64" s="42">
        <f t="shared" si="4"/>
        <v>39.833333333333336</v>
      </c>
    </row>
    <row r="65" spans="1:27" ht="14.1" customHeight="1" x14ac:dyDescent="0.2">
      <c r="A65" s="37">
        <v>22</v>
      </c>
      <c r="B65" s="38">
        <v>73</v>
      </c>
      <c r="C65" s="39">
        <v>70</v>
      </c>
      <c r="D65" s="39">
        <v>59</v>
      </c>
      <c r="E65" s="39">
        <v>48</v>
      </c>
      <c r="F65" s="39">
        <v>41</v>
      </c>
      <c r="G65" s="39">
        <v>34</v>
      </c>
      <c r="H65" s="39">
        <v>27</v>
      </c>
      <c r="I65" s="39">
        <v>20</v>
      </c>
      <c r="J65" s="39">
        <v>12</v>
      </c>
      <c r="K65" s="39">
        <v>7</v>
      </c>
      <c r="L65" s="39">
        <v>6</v>
      </c>
      <c r="M65" s="39">
        <v>8</v>
      </c>
      <c r="N65" s="39">
        <v>14</v>
      </c>
      <c r="O65" s="39">
        <v>24</v>
      </c>
      <c r="P65" s="39">
        <v>33</v>
      </c>
      <c r="Q65" s="39">
        <v>39</v>
      </c>
      <c r="R65" s="39">
        <v>44</v>
      </c>
      <c r="S65" s="39">
        <v>48</v>
      </c>
      <c r="T65" s="39">
        <v>52</v>
      </c>
      <c r="U65" s="39">
        <v>56</v>
      </c>
      <c r="V65" s="39">
        <v>60</v>
      </c>
      <c r="W65" s="39">
        <v>63</v>
      </c>
      <c r="X65" s="39">
        <v>66</v>
      </c>
      <c r="Y65" s="40">
        <v>68</v>
      </c>
      <c r="Z65" s="41">
        <f t="shared" si="3"/>
        <v>972</v>
      </c>
      <c r="AA65" s="42">
        <f t="shared" si="4"/>
        <v>40.5</v>
      </c>
    </row>
    <row r="66" spans="1:27" ht="14.1" customHeight="1" x14ac:dyDescent="0.2">
      <c r="A66" s="37">
        <v>23</v>
      </c>
      <c r="B66" s="38">
        <v>70</v>
      </c>
      <c r="C66" s="39">
        <v>70</v>
      </c>
      <c r="D66" s="39">
        <v>66</v>
      </c>
      <c r="E66" s="39">
        <v>56</v>
      </c>
      <c r="F66" s="39">
        <v>46</v>
      </c>
      <c r="G66" s="39">
        <v>39</v>
      </c>
      <c r="H66" s="39">
        <v>32</v>
      </c>
      <c r="I66" s="39">
        <v>25</v>
      </c>
      <c r="J66" s="39">
        <v>17</v>
      </c>
      <c r="K66" s="39">
        <v>10</v>
      </c>
      <c r="L66" s="39">
        <v>3</v>
      </c>
      <c r="M66" s="39">
        <v>-2</v>
      </c>
      <c r="N66" s="39">
        <v>-1</v>
      </c>
      <c r="O66" s="39">
        <v>11</v>
      </c>
      <c r="P66" s="39">
        <v>26</v>
      </c>
      <c r="Q66" s="39">
        <v>36</v>
      </c>
      <c r="R66" s="39">
        <v>43</v>
      </c>
      <c r="S66" s="39">
        <v>50</v>
      </c>
      <c r="T66" s="39">
        <v>55</v>
      </c>
      <c r="U66" s="39">
        <v>60</v>
      </c>
      <c r="V66" s="39">
        <v>64</v>
      </c>
      <c r="W66" s="39">
        <v>67</v>
      </c>
      <c r="X66" s="39">
        <v>68</v>
      </c>
      <c r="Y66" s="40">
        <v>68</v>
      </c>
      <c r="Z66" s="41">
        <f t="shared" si="3"/>
        <v>979</v>
      </c>
      <c r="AA66" s="42">
        <f t="shared" si="4"/>
        <v>40.791666666666664</v>
      </c>
    </row>
    <row r="67" spans="1:27" ht="14.1" customHeight="1" x14ac:dyDescent="0.2">
      <c r="A67" s="43">
        <v>24</v>
      </c>
      <c r="B67" s="38">
        <v>68</v>
      </c>
      <c r="C67" s="39">
        <v>68</v>
      </c>
      <c r="D67" s="39">
        <v>68</v>
      </c>
      <c r="E67" s="39">
        <v>68</v>
      </c>
      <c r="F67" s="39">
        <v>61</v>
      </c>
      <c r="G67" s="39">
        <v>51</v>
      </c>
      <c r="H67" s="39">
        <v>43</v>
      </c>
      <c r="I67" s="39">
        <v>36</v>
      </c>
      <c r="J67" s="39">
        <v>26</v>
      </c>
      <c r="K67" s="39">
        <v>19</v>
      </c>
      <c r="L67" s="39">
        <v>10</v>
      </c>
      <c r="M67" s="39">
        <v>1</v>
      </c>
      <c r="N67" s="39">
        <v>-5</v>
      </c>
      <c r="O67" s="39">
        <v>-5</v>
      </c>
      <c r="P67" s="39">
        <v>9</v>
      </c>
      <c r="Q67" s="39">
        <v>26</v>
      </c>
      <c r="R67" s="39">
        <v>36</v>
      </c>
      <c r="S67" s="39">
        <v>43</v>
      </c>
      <c r="T67" s="39">
        <v>50</v>
      </c>
      <c r="U67" s="39">
        <v>56</v>
      </c>
      <c r="V67" s="39">
        <v>61</v>
      </c>
      <c r="W67" s="39">
        <v>64</v>
      </c>
      <c r="X67" s="39">
        <v>65</v>
      </c>
      <c r="Y67" s="40">
        <v>64</v>
      </c>
      <c r="Z67" s="41">
        <f t="shared" si="3"/>
        <v>983</v>
      </c>
      <c r="AA67" s="42">
        <f t="shared" si="4"/>
        <v>40.958333333333336</v>
      </c>
    </row>
    <row r="68" spans="1:27" ht="14.1" customHeight="1" x14ac:dyDescent="0.2">
      <c r="A68" s="37">
        <v>25</v>
      </c>
      <c r="B68" s="38">
        <v>63</v>
      </c>
      <c r="C68" s="39">
        <v>66</v>
      </c>
      <c r="D68" s="39">
        <v>70</v>
      </c>
      <c r="E68" s="39">
        <v>72</v>
      </c>
      <c r="F68" s="39">
        <v>70</v>
      </c>
      <c r="G68" s="39">
        <v>60</v>
      </c>
      <c r="H68" s="39">
        <v>49</v>
      </c>
      <c r="I68" s="39">
        <v>40</v>
      </c>
      <c r="J68" s="39">
        <v>31</v>
      </c>
      <c r="K68" s="39">
        <v>23</v>
      </c>
      <c r="L68" s="39">
        <v>15</v>
      </c>
      <c r="M68" s="39">
        <v>6</v>
      </c>
      <c r="N68" s="39">
        <v>-2</v>
      </c>
      <c r="O68" s="39">
        <v>-6</v>
      </c>
      <c r="P68" s="39">
        <v>0</v>
      </c>
      <c r="Q68" s="39">
        <v>20</v>
      </c>
      <c r="R68" s="39">
        <v>35</v>
      </c>
      <c r="S68" s="39">
        <v>43</v>
      </c>
      <c r="T68" s="39">
        <v>50</v>
      </c>
      <c r="U68" s="39">
        <v>56</v>
      </c>
      <c r="V68" s="39">
        <v>61</v>
      </c>
      <c r="W68" s="39">
        <v>64</v>
      </c>
      <c r="X68" s="39">
        <v>64</v>
      </c>
      <c r="Y68" s="40">
        <v>58</v>
      </c>
      <c r="Z68" s="41">
        <f t="shared" si="3"/>
        <v>1008</v>
      </c>
      <c r="AA68" s="42">
        <f t="shared" si="4"/>
        <v>42</v>
      </c>
    </row>
    <row r="69" spans="1:27" ht="14.1" customHeight="1" x14ac:dyDescent="0.2">
      <c r="A69" s="37">
        <v>26</v>
      </c>
      <c r="B69" s="38">
        <v>50</v>
      </c>
      <c r="C69" s="39">
        <v>47</v>
      </c>
      <c r="D69" s="39">
        <v>56</v>
      </c>
      <c r="E69" s="39">
        <v>66</v>
      </c>
      <c r="F69" s="39">
        <v>71</v>
      </c>
      <c r="G69" s="39">
        <v>72</v>
      </c>
      <c r="H69" s="39">
        <v>69</v>
      </c>
      <c r="I69" s="39">
        <v>54</v>
      </c>
      <c r="J69" s="39">
        <v>41</v>
      </c>
      <c r="K69" s="39">
        <v>33</v>
      </c>
      <c r="L69" s="39">
        <v>24</v>
      </c>
      <c r="M69" s="39">
        <v>16</v>
      </c>
      <c r="N69" s="39">
        <v>7</v>
      </c>
      <c r="O69" s="39">
        <v>-1</v>
      </c>
      <c r="P69" s="39">
        <v>0</v>
      </c>
      <c r="Q69" s="39">
        <v>18</v>
      </c>
      <c r="R69" s="39">
        <v>36</v>
      </c>
      <c r="S69" s="39">
        <v>46</v>
      </c>
      <c r="T69" s="39">
        <v>53</v>
      </c>
      <c r="U69" s="39">
        <v>60</v>
      </c>
      <c r="V69" s="39">
        <v>66</v>
      </c>
      <c r="W69" s="39">
        <v>68</v>
      </c>
      <c r="X69" s="39">
        <v>66</v>
      </c>
      <c r="Y69" s="40">
        <v>57</v>
      </c>
      <c r="Z69" s="41">
        <f t="shared" si="3"/>
        <v>1075</v>
      </c>
      <c r="AA69" s="42">
        <f t="shared" si="4"/>
        <v>44.791666666666664</v>
      </c>
    </row>
    <row r="70" spans="1:27" ht="14.1" customHeight="1" x14ac:dyDescent="0.2">
      <c r="A70" s="37">
        <v>27</v>
      </c>
      <c r="B70" s="38">
        <v>47</v>
      </c>
      <c r="C70" s="39">
        <v>45</v>
      </c>
      <c r="D70" s="39">
        <v>54</v>
      </c>
      <c r="E70" s="39">
        <v>69</v>
      </c>
      <c r="F70" s="39">
        <v>77</v>
      </c>
      <c r="G70" s="39">
        <v>82</v>
      </c>
      <c r="H70" s="39">
        <v>84</v>
      </c>
      <c r="I70" s="39">
        <v>80</v>
      </c>
      <c r="J70" s="39">
        <v>64</v>
      </c>
      <c r="K70" s="39">
        <v>49</v>
      </c>
      <c r="L70" s="39">
        <v>40</v>
      </c>
      <c r="M70" s="39">
        <v>32</v>
      </c>
      <c r="N70" s="39">
        <v>23</v>
      </c>
      <c r="O70" s="39">
        <v>15</v>
      </c>
      <c r="P70" s="39">
        <v>7</v>
      </c>
      <c r="Q70" s="39">
        <v>10</v>
      </c>
      <c r="R70" s="39">
        <v>29</v>
      </c>
      <c r="S70" s="39">
        <v>46</v>
      </c>
      <c r="T70" s="39">
        <v>56</v>
      </c>
      <c r="U70" s="39">
        <v>62</v>
      </c>
      <c r="V70" s="39">
        <v>67</v>
      </c>
      <c r="W70" s="39">
        <v>71</v>
      </c>
      <c r="X70" s="39">
        <v>70</v>
      </c>
      <c r="Y70" s="40">
        <v>60</v>
      </c>
      <c r="Z70" s="41">
        <f t="shared" si="3"/>
        <v>1239</v>
      </c>
      <c r="AA70" s="42">
        <f t="shared" si="4"/>
        <v>51.625</v>
      </c>
    </row>
    <row r="71" spans="1:27" ht="14.1" customHeight="1" x14ac:dyDescent="0.2">
      <c r="A71" s="37">
        <v>28</v>
      </c>
      <c r="B71" s="38">
        <v>46</v>
      </c>
      <c r="C71" s="39">
        <v>40</v>
      </c>
      <c r="D71" s="39">
        <v>43</v>
      </c>
      <c r="E71" s="39">
        <v>59</v>
      </c>
      <c r="F71" s="39">
        <v>73</v>
      </c>
      <c r="G71" s="39">
        <v>80</v>
      </c>
      <c r="H71" s="39">
        <v>84</v>
      </c>
      <c r="I71" s="39">
        <v>87</v>
      </c>
      <c r="J71" s="39">
        <v>86</v>
      </c>
      <c r="K71" s="39">
        <v>72</v>
      </c>
      <c r="L71" s="39">
        <v>55</v>
      </c>
      <c r="M71" s="39">
        <v>46</v>
      </c>
      <c r="N71" s="39">
        <v>38</v>
      </c>
      <c r="O71" s="39">
        <v>30</v>
      </c>
      <c r="P71" s="39">
        <v>22</v>
      </c>
      <c r="Q71" s="39">
        <v>15</v>
      </c>
      <c r="R71" s="39">
        <v>24</v>
      </c>
      <c r="S71" s="39">
        <v>45</v>
      </c>
      <c r="T71" s="39">
        <v>59</v>
      </c>
      <c r="U71" s="39">
        <v>67</v>
      </c>
      <c r="V71" s="39">
        <v>73</v>
      </c>
      <c r="W71" s="39">
        <v>77</v>
      </c>
      <c r="X71" s="39">
        <v>75</v>
      </c>
      <c r="Y71" s="40">
        <v>62</v>
      </c>
      <c r="Z71" s="41">
        <f t="shared" si="3"/>
        <v>1358</v>
      </c>
      <c r="AA71" s="42">
        <f t="shared" si="4"/>
        <v>56.583333333333336</v>
      </c>
    </row>
    <row r="72" spans="1:27" ht="14.1" customHeight="1" x14ac:dyDescent="0.2">
      <c r="A72" s="37">
        <v>29</v>
      </c>
      <c r="B72" s="38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40"/>
      <c r="Z72" s="41">
        <f t="shared" si="3"/>
        <v>0</v>
      </c>
      <c r="AA72" s="42" t="e">
        <f t="shared" si="4"/>
        <v>#DIV/0!</v>
      </c>
    </row>
    <row r="73" spans="1:27" ht="14.1" customHeight="1" x14ac:dyDescent="0.2">
      <c r="A73" s="37">
        <v>30</v>
      </c>
      <c r="B73" s="38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40"/>
      <c r="Z73" s="41">
        <f t="shared" si="3"/>
        <v>0</v>
      </c>
      <c r="AA73" s="42" t="e">
        <f t="shared" si="4"/>
        <v>#DIV/0!</v>
      </c>
    </row>
    <row r="74" spans="1:27" ht="14.1" customHeight="1" x14ac:dyDescent="0.2">
      <c r="A74" s="37">
        <v>31</v>
      </c>
      <c r="B74" s="44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6"/>
      <c r="Z74" s="47">
        <f t="shared" si="3"/>
        <v>0</v>
      </c>
      <c r="AA74" s="48" t="e">
        <f t="shared" si="4"/>
        <v>#DIV/0!</v>
      </c>
    </row>
    <row r="75" spans="1:27" ht="14.1" customHeight="1" x14ac:dyDescent="0.2">
      <c r="A75" s="27" t="s">
        <v>7</v>
      </c>
      <c r="B75" s="49">
        <f t="shared" ref="B75:Y75" si="5">SUM(B44:B74)</f>
        <v>1753</v>
      </c>
      <c r="C75" s="49">
        <f t="shared" si="5"/>
        <v>1620</v>
      </c>
      <c r="D75" s="49">
        <f t="shared" si="5"/>
        <v>1502</v>
      </c>
      <c r="E75" s="49">
        <f t="shared" si="5"/>
        <v>1433</v>
      </c>
      <c r="F75" s="49">
        <f t="shared" si="5"/>
        <v>1390</v>
      </c>
      <c r="G75" s="49">
        <f t="shared" si="5"/>
        <v>1381</v>
      </c>
      <c r="H75" s="49">
        <f t="shared" si="5"/>
        <v>1387</v>
      </c>
      <c r="I75" s="49">
        <f t="shared" si="5"/>
        <v>1371</v>
      </c>
      <c r="J75" s="49">
        <f t="shared" si="5"/>
        <v>1309</v>
      </c>
      <c r="K75" s="49">
        <f t="shared" si="5"/>
        <v>1255</v>
      </c>
      <c r="L75" s="49">
        <f t="shared" si="5"/>
        <v>1168</v>
      </c>
      <c r="M75" s="49">
        <f t="shared" si="5"/>
        <v>1040</v>
      </c>
      <c r="N75" s="49">
        <f t="shared" si="5"/>
        <v>893</v>
      </c>
      <c r="O75" s="49">
        <f t="shared" si="5"/>
        <v>771</v>
      </c>
      <c r="P75" s="49">
        <f t="shared" si="5"/>
        <v>715</v>
      </c>
      <c r="Q75" s="50">
        <f t="shared" si="5"/>
        <v>709</v>
      </c>
      <c r="R75" s="49">
        <f t="shared" si="5"/>
        <v>755</v>
      </c>
      <c r="S75" s="49">
        <f t="shared" si="5"/>
        <v>862</v>
      </c>
      <c r="T75" s="49">
        <f t="shared" si="5"/>
        <v>1091</v>
      </c>
      <c r="U75" s="49">
        <f t="shared" si="5"/>
        <v>1380</v>
      </c>
      <c r="V75" s="49">
        <f t="shared" si="5"/>
        <v>1621</v>
      </c>
      <c r="W75" s="49">
        <f t="shared" si="5"/>
        <v>1768</v>
      </c>
      <c r="X75" s="49">
        <f t="shared" si="5"/>
        <v>1847</v>
      </c>
      <c r="Y75" s="49">
        <f t="shared" si="5"/>
        <v>1832</v>
      </c>
      <c r="Z75" s="51">
        <f>SUM(B44:Y74)</f>
        <v>30853</v>
      </c>
      <c r="AA75" s="52">
        <f>AVERAGE(B44:Y74)</f>
        <v>45.91220238095238</v>
      </c>
    </row>
    <row r="76" spans="1:27" ht="14.1" customHeight="1" x14ac:dyDescent="0.25">
      <c r="A76" s="53" t="s">
        <v>10</v>
      </c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 spans="1:27" ht="14.1" customHeight="1" x14ac:dyDescent="0.25">
      <c r="A77" s="55" t="str">
        <f>A39</f>
        <v>Trạm: Gò Dầu Hạ</v>
      </c>
      <c r="B77" s="2"/>
      <c r="C77" s="3"/>
      <c r="D77" s="4"/>
      <c r="E77" s="5"/>
      <c r="F77" s="5"/>
      <c r="G77" s="5"/>
      <c r="H77" s="5"/>
      <c r="I77" s="6"/>
      <c r="J77" s="4"/>
      <c r="K77" s="5"/>
      <c r="L77" s="5"/>
      <c r="M77" s="5"/>
      <c r="N77" s="5"/>
      <c r="O77" s="4"/>
      <c r="P77" s="6"/>
      <c r="Q77" s="4"/>
      <c r="R77" s="5"/>
      <c r="S77" s="5"/>
      <c r="T77" s="5"/>
      <c r="U77" s="5"/>
      <c r="V77" s="6"/>
      <c r="W77" s="4"/>
      <c r="X77" s="7"/>
      <c r="Y77" s="5"/>
      <c r="Z77" s="5"/>
      <c r="AA77" s="5"/>
    </row>
    <row r="78" spans="1:27" ht="14.1" customHeight="1" x14ac:dyDescent="0.25">
      <c r="A78" s="55" t="str">
        <f>A40</f>
        <v>Sông: Vàm Cỏ Đông</v>
      </c>
      <c r="B78" s="2"/>
      <c r="C78" s="2"/>
      <c r="D78" s="9"/>
      <c r="E78" s="10"/>
      <c r="F78" s="10"/>
      <c r="G78" s="10"/>
      <c r="H78" s="10"/>
      <c r="I78" s="11"/>
      <c r="J78" s="11"/>
      <c r="K78" s="5"/>
      <c r="L78" s="5"/>
      <c r="M78" s="12" t="s">
        <v>2</v>
      </c>
      <c r="N78" s="13"/>
      <c r="O78" s="13"/>
      <c r="P78" s="13"/>
      <c r="Q78" s="14"/>
      <c r="R78" s="14"/>
      <c r="S78" s="10"/>
      <c r="T78" s="10"/>
      <c r="U78" s="10"/>
      <c r="V78" s="11"/>
      <c r="W78" s="11"/>
      <c r="X78" s="7"/>
      <c r="Y78" s="5"/>
      <c r="Z78" s="5"/>
      <c r="AA78" s="5"/>
    </row>
    <row r="79" spans="1:27" ht="14.1" customHeight="1" x14ac:dyDescent="0.25">
      <c r="A79" s="56" t="s">
        <v>3</v>
      </c>
      <c r="B79" s="16">
        <f>B41+1</f>
        <v>3</v>
      </c>
      <c r="C79" s="16"/>
      <c r="D79" s="17"/>
      <c r="E79" s="9"/>
      <c r="F79" s="18"/>
      <c r="G79" s="10"/>
      <c r="H79" s="10"/>
      <c r="I79" s="10"/>
      <c r="J79" s="4"/>
      <c r="K79" s="5"/>
      <c r="L79" s="5"/>
      <c r="M79" s="19"/>
      <c r="N79" s="20" t="s">
        <v>4</v>
      </c>
      <c r="O79" s="22">
        <f>O41</f>
        <v>2025</v>
      </c>
      <c r="P79" s="22"/>
      <c r="Q79" s="13"/>
      <c r="R79" s="14"/>
      <c r="S79" s="18"/>
      <c r="T79" s="10"/>
      <c r="U79" s="10"/>
      <c r="V79" s="10"/>
      <c r="W79" s="4"/>
      <c r="X79" s="23" t="s">
        <v>5</v>
      </c>
      <c r="Y79" s="5"/>
      <c r="Z79" s="5"/>
      <c r="AA79" s="5"/>
    </row>
    <row r="80" spans="1:27" ht="14.1" customHeight="1" x14ac:dyDescent="0.2">
      <c r="A80" s="24" t="s">
        <v>6</v>
      </c>
      <c r="B80" s="25">
        <v>0</v>
      </c>
      <c r="C80" s="26">
        <v>1</v>
      </c>
      <c r="D80" s="25">
        <v>2</v>
      </c>
      <c r="E80" s="25">
        <v>3</v>
      </c>
      <c r="F80" s="26">
        <v>4</v>
      </c>
      <c r="G80" s="25">
        <v>5</v>
      </c>
      <c r="H80" s="25">
        <v>6</v>
      </c>
      <c r="I80" s="26">
        <v>7</v>
      </c>
      <c r="J80" s="25">
        <v>8</v>
      </c>
      <c r="K80" s="25">
        <v>9</v>
      </c>
      <c r="L80" s="25">
        <v>10</v>
      </c>
      <c r="M80" s="25">
        <v>11</v>
      </c>
      <c r="N80" s="25">
        <v>12</v>
      </c>
      <c r="O80" s="25">
        <v>13</v>
      </c>
      <c r="P80" s="26">
        <v>14</v>
      </c>
      <c r="Q80" s="25">
        <v>15</v>
      </c>
      <c r="R80" s="26">
        <v>16</v>
      </c>
      <c r="S80" s="25">
        <v>17</v>
      </c>
      <c r="T80" s="26">
        <v>18</v>
      </c>
      <c r="U80" s="25">
        <v>19</v>
      </c>
      <c r="V80" s="26">
        <v>20</v>
      </c>
      <c r="W80" s="25">
        <v>21</v>
      </c>
      <c r="X80" s="26">
        <v>22</v>
      </c>
      <c r="Y80" s="25">
        <v>23</v>
      </c>
      <c r="Z80" s="27" t="s">
        <v>7</v>
      </c>
      <c r="AA80" s="27" t="s">
        <v>8</v>
      </c>
    </row>
    <row r="81" spans="1:27" ht="14.1" customHeight="1" x14ac:dyDescent="0.2">
      <c r="A81" s="28" t="s">
        <v>9</v>
      </c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30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 spans="1:27" ht="14.1" customHeight="1" x14ac:dyDescent="0.2">
      <c r="A82" s="31">
        <v>1</v>
      </c>
      <c r="B82" s="32">
        <v>48</v>
      </c>
      <c r="C82" s="33">
        <v>40</v>
      </c>
      <c r="D82" s="33">
        <v>35</v>
      </c>
      <c r="E82" s="33">
        <v>40</v>
      </c>
      <c r="F82" s="33">
        <v>61</v>
      </c>
      <c r="G82" s="33">
        <v>74</v>
      </c>
      <c r="H82" s="33">
        <v>81</v>
      </c>
      <c r="I82" s="33">
        <v>86</v>
      </c>
      <c r="J82" s="33">
        <v>90</v>
      </c>
      <c r="K82" s="33">
        <v>89</v>
      </c>
      <c r="L82" s="33">
        <v>74</v>
      </c>
      <c r="M82" s="33">
        <v>58</v>
      </c>
      <c r="N82" s="33">
        <v>48</v>
      </c>
      <c r="O82" s="33">
        <v>41</v>
      </c>
      <c r="P82" s="33">
        <v>33</v>
      </c>
      <c r="Q82" s="33">
        <v>24</v>
      </c>
      <c r="R82" s="33">
        <v>23</v>
      </c>
      <c r="S82" s="33">
        <v>42</v>
      </c>
      <c r="T82" s="33">
        <v>60</v>
      </c>
      <c r="U82" s="33">
        <v>69</v>
      </c>
      <c r="V82" s="33">
        <v>77</v>
      </c>
      <c r="W82" s="33">
        <v>81</v>
      </c>
      <c r="X82" s="33">
        <v>83</v>
      </c>
      <c r="Y82" s="34">
        <v>71</v>
      </c>
      <c r="Z82" s="35">
        <f t="shared" ref="Z82:Z112" si="6">SUM(B82:Y82)</f>
        <v>1428</v>
      </c>
      <c r="AA82" s="36">
        <f t="shared" ref="AA82:AA112" si="7">AVERAGE(B82:Y82)</f>
        <v>59.5</v>
      </c>
    </row>
    <row r="83" spans="1:27" ht="14.1" customHeight="1" x14ac:dyDescent="0.2">
      <c r="A83" s="37">
        <v>2</v>
      </c>
      <c r="B83" s="38">
        <v>54</v>
      </c>
      <c r="C83" s="39">
        <v>45</v>
      </c>
      <c r="D83" s="39">
        <v>37</v>
      </c>
      <c r="E83" s="39">
        <v>31</v>
      </c>
      <c r="F83" s="39">
        <v>35</v>
      </c>
      <c r="G83" s="39">
        <v>59</v>
      </c>
      <c r="H83" s="39">
        <v>73</v>
      </c>
      <c r="I83" s="39">
        <v>80</v>
      </c>
      <c r="J83" s="39">
        <v>86</v>
      </c>
      <c r="K83" s="39">
        <v>88</v>
      </c>
      <c r="L83" s="39">
        <v>83</v>
      </c>
      <c r="M83" s="39">
        <v>63</v>
      </c>
      <c r="N83" s="39">
        <v>50</v>
      </c>
      <c r="O83" s="39">
        <v>42</v>
      </c>
      <c r="P83" s="39">
        <v>35</v>
      </c>
      <c r="Q83" s="39">
        <v>24</v>
      </c>
      <c r="R83" s="39">
        <v>17</v>
      </c>
      <c r="S83" s="39">
        <v>25</v>
      </c>
      <c r="T83" s="39">
        <v>47</v>
      </c>
      <c r="U83" s="39">
        <v>60</v>
      </c>
      <c r="V83" s="39">
        <v>68</v>
      </c>
      <c r="W83" s="39">
        <v>74</v>
      </c>
      <c r="X83" s="39">
        <v>76</v>
      </c>
      <c r="Y83" s="40">
        <v>69</v>
      </c>
      <c r="Z83" s="41">
        <f t="shared" si="6"/>
        <v>1321</v>
      </c>
      <c r="AA83" s="42">
        <f t="shared" si="7"/>
        <v>55.041666666666664</v>
      </c>
    </row>
    <row r="84" spans="1:27" ht="14.1" customHeight="1" x14ac:dyDescent="0.2">
      <c r="A84" s="37">
        <v>3</v>
      </c>
      <c r="B84" s="38">
        <v>50</v>
      </c>
      <c r="C84" s="39">
        <v>39</v>
      </c>
      <c r="D84" s="39">
        <v>31</v>
      </c>
      <c r="E84" s="39">
        <v>24</v>
      </c>
      <c r="F84" s="39">
        <v>18</v>
      </c>
      <c r="G84" s="39">
        <v>28</v>
      </c>
      <c r="H84" s="39">
        <v>50</v>
      </c>
      <c r="I84" s="39">
        <v>62</v>
      </c>
      <c r="J84" s="39">
        <v>68</v>
      </c>
      <c r="K84" s="39">
        <v>73</v>
      </c>
      <c r="L84" s="39">
        <v>76</v>
      </c>
      <c r="M84" s="39">
        <v>71</v>
      </c>
      <c r="N84" s="39">
        <v>53</v>
      </c>
      <c r="O84" s="39">
        <v>40</v>
      </c>
      <c r="P84" s="39">
        <v>31</v>
      </c>
      <c r="Q84" s="39">
        <v>23</v>
      </c>
      <c r="R84" s="39">
        <v>16</v>
      </c>
      <c r="S84" s="39">
        <v>15</v>
      </c>
      <c r="T84" s="39">
        <v>36</v>
      </c>
      <c r="U84" s="39">
        <v>54</v>
      </c>
      <c r="V84" s="39">
        <v>63</v>
      </c>
      <c r="W84" s="39">
        <v>69</v>
      </c>
      <c r="X84" s="39">
        <v>73</v>
      </c>
      <c r="Y84" s="40">
        <v>74</v>
      </c>
      <c r="Z84" s="41">
        <f t="shared" si="6"/>
        <v>1137</v>
      </c>
      <c r="AA84" s="42">
        <f t="shared" si="7"/>
        <v>47.375</v>
      </c>
    </row>
    <row r="85" spans="1:27" ht="14.1" customHeight="1" x14ac:dyDescent="0.2">
      <c r="A85" s="37">
        <v>4</v>
      </c>
      <c r="B85" s="38">
        <v>60</v>
      </c>
      <c r="C85" s="39">
        <v>43</v>
      </c>
      <c r="D85" s="39">
        <v>34</v>
      </c>
      <c r="E85" s="39">
        <v>25</v>
      </c>
      <c r="F85" s="39">
        <v>17</v>
      </c>
      <c r="G85" s="39">
        <v>11</v>
      </c>
      <c r="H85" s="39">
        <v>20</v>
      </c>
      <c r="I85" s="39">
        <v>44</v>
      </c>
      <c r="J85" s="39">
        <v>54</v>
      </c>
      <c r="K85" s="39">
        <v>60</v>
      </c>
      <c r="L85" s="39">
        <v>64</v>
      </c>
      <c r="M85" s="39">
        <v>64</v>
      </c>
      <c r="N85" s="39">
        <v>52</v>
      </c>
      <c r="O85" s="39">
        <v>35</v>
      </c>
      <c r="P85" s="39">
        <v>25</v>
      </c>
      <c r="Q85" s="39">
        <v>18</v>
      </c>
      <c r="R85" s="39">
        <v>10</v>
      </c>
      <c r="S85" s="39">
        <v>6</v>
      </c>
      <c r="T85" s="39">
        <v>22</v>
      </c>
      <c r="U85" s="39">
        <v>43</v>
      </c>
      <c r="V85" s="39">
        <v>54</v>
      </c>
      <c r="W85" s="39">
        <v>61</v>
      </c>
      <c r="X85" s="39">
        <v>66</v>
      </c>
      <c r="Y85" s="40">
        <v>69</v>
      </c>
      <c r="Z85" s="41">
        <f t="shared" si="6"/>
        <v>957</v>
      </c>
      <c r="AA85" s="42">
        <f t="shared" si="7"/>
        <v>39.875</v>
      </c>
    </row>
    <row r="86" spans="1:27" ht="14.1" customHeight="1" x14ac:dyDescent="0.2">
      <c r="A86" s="37">
        <v>5</v>
      </c>
      <c r="B86" s="38">
        <v>61</v>
      </c>
      <c r="C86" s="39">
        <v>43</v>
      </c>
      <c r="D86" s="39">
        <v>31</v>
      </c>
      <c r="E86" s="39">
        <v>24</v>
      </c>
      <c r="F86" s="39">
        <v>15</v>
      </c>
      <c r="G86" s="39">
        <v>6</v>
      </c>
      <c r="H86" s="39">
        <v>-1</v>
      </c>
      <c r="I86" s="39">
        <v>10</v>
      </c>
      <c r="J86" s="39">
        <v>28</v>
      </c>
      <c r="K86" s="39">
        <v>40</v>
      </c>
      <c r="L86" s="39">
        <v>46</v>
      </c>
      <c r="M86" s="39">
        <v>50</v>
      </c>
      <c r="N86" s="39">
        <v>50</v>
      </c>
      <c r="O86" s="39">
        <v>37</v>
      </c>
      <c r="P86" s="39">
        <v>20</v>
      </c>
      <c r="Q86" s="39">
        <v>11</v>
      </c>
      <c r="R86" s="39">
        <v>5</v>
      </c>
      <c r="S86" s="39">
        <v>-1</v>
      </c>
      <c r="T86" s="39">
        <v>3</v>
      </c>
      <c r="U86" s="39">
        <v>23</v>
      </c>
      <c r="V86" s="39">
        <v>38</v>
      </c>
      <c r="W86" s="39">
        <v>46</v>
      </c>
      <c r="X86" s="39">
        <v>51</v>
      </c>
      <c r="Y86" s="40">
        <v>55</v>
      </c>
      <c r="Z86" s="41">
        <f t="shared" si="6"/>
        <v>691</v>
      </c>
      <c r="AA86" s="42">
        <f t="shared" si="7"/>
        <v>28.791666666666668</v>
      </c>
    </row>
    <row r="87" spans="1:27" ht="14.1" customHeight="1" x14ac:dyDescent="0.2">
      <c r="A87" s="37">
        <v>6</v>
      </c>
      <c r="B87" s="38">
        <v>55</v>
      </c>
      <c r="C87" s="39">
        <v>40</v>
      </c>
      <c r="D87" s="39">
        <v>24</v>
      </c>
      <c r="E87" s="39">
        <v>15</v>
      </c>
      <c r="F87" s="39">
        <v>7</v>
      </c>
      <c r="G87" s="39">
        <v>-2</v>
      </c>
      <c r="H87" s="39">
        <v>-12</v>
      </c>
      <c r="I87" s="39">
        <v>-18</v>
      </c>
      <c r="J87" s="39">
        <v>-8</v>
      </c>
      <c r="K87" s="39">
        <v>14</v>
      </c>
      <c r="L87" s="39">
        <v>26</v>
      </c>
      <c r="M87" s="39">
        <v>33</v>
      </c>
      <c r="N87" s="39">
        <v>38</v>
      </c>
      <c r="O87" s="39">
        <v>39</v>
      </c>
      <c r="P87" s="39">
        <v>33</v>
      </c>
      <c r="Q87" s="39">
        <v>20</v>
      </c>
      <c r="R87" s="39">
        <v>12</v>
      </c>
      <c r="S87" s="39">
        <v>10</v>
      </c>
      <c r="T87" s="39">
        <v>12</v>
      </c>
      <c r="U87" s="39">
        <v>22</v>
      </c>
      <c r="V87" s="39">
        <v>36</v>
      </c>
      <c r="W87" s="39">
        <v>45</v>
      </c>
      <c r="X87" s="39">
        <v>51</v>
      </c>
      <c r="Y87" s="40">
        <v>56</v>
      </c>
      <c r="Z87" s="41">
        <f t="shared" si="6"/>
        <v>548</v>
      </c>
      <c r="AA87" s="42">
        <f t="shared" si="7"/>
        <v>22.833333333333332</v>
      </c>
    </row>
    <row r="88" spans="1:27" ht="14.1" customHeight="1" x14ac:dyDescent="0.2">
      <c r="A88" s="37">
        <v>7</v>
      </c>
      <c r="B88" s="38">
        <v>58</v>
      </c>
      <c r="C88" s="39">
        <v>51</v>
      </c>
      <c r="D88" s="39">
        <v>35</v>
      </c>
      <c r="E88" s="39">
        <v>23</v>
      </c>
      <c r="F88" s="39">
        <v>15</v>
      </c>
      <c r="G88" s="39">
        <v>7</v>
      </c>
      <c r="H88" s="39">
        <v>-2</v>
      </c>
      <c r="I88" s="39">
        <v>-11</v>
      </c>
      <c r="J88" s="39">
        <v>-18</v>
      </c>
      <c r="K88" s="39">
        <v>-9</v>
      </c>
      <c r="L88" s="39">
        <v>10</v>
      </c>
      <c r="M88" s="39">
        <v>22</v>
      </c>
      <c r="N88" s="39">
        <v>29</v>
      </c>
      <c r="O88" s="39">
        <v>34</v>
      </c>
      <c r="P88" s="39">
        <v>37</v>
      </c>
      <c r="Q88" s="39">
        <v>39</v>
      </c>
      <c r="R88" s="39">
        <v>41</v>
      </c>
      <c r="S88" s="39">
        <v>41</v>
      </c>
      <c r="T88" s="39">
        <v>45</v>
      </c>
      <c r="U88" s="39">
        <v>52</v>
      </c>
      <c r="V88" s="39">
        <v>59</v>
      </c>
      <c r="W88" s="39">
        <v>65</v>
      </c>
      <c r="X88" s="39">
        <v>69</v>
      </c>
      <c r="Y88" s="40">
        <v>74</v>
      </c>
      <c r="Z88" s="41">
        <f t="shared" si="6"/>
        <v>766</v>
      </c>
      <c r="AA88" s="42">
        <f t="shared" si="7"/>
        <v>31.916666666666668</v>
      </c>
    </row>
    <row r="89" spans="1:27" ht="14.1" customHeight="1" x14ac:dyDescent="0.2">
      <c r="A89" s="37">
        <v>8</v>
      </c>
      <c r="B89" s="38">
        <v>76</v>
      </c>
      <c r="C89" s="39">
        <v>76</v>
      </c>
      <c r="D89" s="39">
        <v>66</v>
      </c>
      <c r="E89" s="39">
        <v>51</v>
      </c>
      <c r="F89" s="39">
        <v>42</v>
      </c>
      <c r="G89" s="39">
        <v>34</v>
      </c>
      <c r="H89" s="39">
        <v>27</v>
      </c>
      <c r="I89" s="39">
        <v>19</v>
      </c>
      <c r="J89" s="39">
        <v>10</v>
      </c>
      <c r="K89" s="39">
        <v>2</v>
      </c>
      <c r="L89" s="39">
        <v>1</v>
      </c>
      <c r="M89" s="39">
        <v>9</v>
      </c>
      <c r="N89" s="39">
        <v>23</v>
      </c>
      <c r="O89" s="39">
        <v>35</v>
      </c>
      <c r="P89" s="39">
        <v>42</v>
      </c>
      <c r="Q89" s="39">
        <v>47</v>
      </c>
      <c r="R89" s="39">
        <v>51</v>
      </c>
      <c r="S89" s="39">
        <v>55</v>
      </c>
      <c r="T89" s="39">
        <v>59</v>
      </c>
      <c r="U89" s="39">
        <v>63</v>
      </c>
      <c r="V89" s="39">
        <v>67</v>
      </c>
      <c r="W89" s="39">
        <v>71</v>
      </c>
      <c r="X89" s="39">
        <v>74</v>
      </c>
      <c r="Y89" s="40">
        <v>77</v>
      </c>
      <c r="Z89" s="41">
        <f t="shared" si="6"/>
        <v>1077</v>
      </c>
      <c r="AA89" s="42">
        <f t="shared" si="7"/>
        <v>44.875</v>
      </c>
    </row>
    <row r="90" spans="1:27" ht="14.1" customHeight="1" x14ac:dyDescent="0.2">
      <c r="A90" s="37">
        <v>9</v>
      </c>
      <c r="B90" s="38">
        <v>79</v>
      </c>
      <c r="C90" s="39">
        <v>79</v>
      </c>
      <c r="D90" s="39">
        <v>76</v>
      </c>
      <c r="E90" s="39">
        <v>66</v>
      </c>
      <c r="F90" s="39">
        <v>55</v>
      </c>
      <c r="G90" s="39">
        <v>46</v>
      </c>
      <c r="H90" s="39">
        <v>38</v>
      </c>
      <c r="I90" s="39">
        <v>31</v>
      </c>
      <c r="J90" s="39">
        <v>22</v>
      </c>
      <c r="K90" s="39">
        <v>13</v>
      </c>
      <c r="L90" s="39">
        <v>5</v>
      </c>
      <c r="M90" s="39">
        <v>1</v>
      </c>
      <c r="N90" s="39">
        <v>4</v>
      </c>
      <c r="O90" s="39">
        <v>18</v>
      </c>
      <c r="P90" s="39">
        <v>33</v>
      </c>
      <c r="Q90" s="39">
        <v>44</v>
      </c>
      <c r="R90" s="39">
        <v>50</v>
      </c>
      <c r="S90" s="39">
        <v>56</v>
      </c>
      <c r="T90" s="39">
        <v>62</v>
      </c>
      <c r="U90" s="39">
        <v>67</v>
      </c>
      <c r="V90" s="39">
        <v>71</v>
      </c>
      <c r="W90" s="39">
        <v>74</v>
      </c>
      <c r="X90" s="39">
        <v>75</v>
      </c>
      <c r="Y90" s="40">
        <v>74</v>
      </c>
      <c r="Z90" s="41">
        <f t="shared" si="6"/>
        <v>1139</v>
      </c>
      <c r="AA90" s="42">
        <f t="shared" si="7"/>
        <v>47.458333333333336</v>
      </c>
    </row>
    <row r="91" spans="1:27" ht="14.1" customHeight="1" x14ac:dyDescent="0.2">
      <c r="A91" s="37">
        <v>10</v>
      </c>
      <c r="B91" s="38">
        <v>74</v>
      </c>
      <c r="C91" s="39">
        <v>74</v>
      </c>
      <c r="D91" s="39">
        <v>74</v>
      </c>
      <c r="E91" s="39">
        <v>73</v>
      </c>
      <c r="F91" s="39">
        <v>67</v>
      </c>
      <c r="G91" s="39">
        <v>57</v>
      </c>
      <c r="H91" s="39">
        <v>48</v>
      </c>
      <c r="I91" s="39">
        <v>40</v>
      </c>
      <c r="J91" s="39">
        <v>31</v>
      </c>
      <c r="K91" s="39">
        <v>23</v>
      </c>
      <c r="L91" s="39">
        <v>14</v>
      </c>
      <c r="M91" s="39">
        <v>5</v>
      </c>
      <c r="N91" s="39">
        <v>1</v>
      </c>
      <c r="O91" s="39">
        <v>7</v>
      </c>
      <c r="P91" s="39">
        <v>25</v>
      </c>
      <c r="Q91" s="39">
        <v>40</v>
      </c>
      <c r="R91" s="39">
        <v>50</v>
      </c>
      <c r="S91" s="39">
        <v>57</v>
      </c>
      <c r="T91" s="39">
        <v>63</v>
      </c>
      <c r="U91" s="39">
        <v>68</v>
      </c>
      <c r="V91" s="39">
        <v>73</v>
      </c>
      <c r="W91" s="39">
        <v>76</v>
      </c>
      <c r="X91" s="39">
        <v>77</v>
      </c>
      <c r="Y91" s="40">
        <v>75</v>
      </c>
      <c r="Z91" s="41">
        <f t="shared" si="6"/>
        <v>1192</v>
      </c>
      <c r="AA91" s="42">
        <f t="shared" si="7"/>
        <v>49.666666666666664</v>
      </c>
    </row>
    <row r="92" spans="1:27" ht="14.1" customHeight="1" x14ac:dyDescent="0.2">
      <c r="A92" s="37">
        <v>11</v>
      </c>
      <c r="B92" s="38">
        <v>72</v>
      </c>
      <c r="C92" s="39">
        <v>72</v>
      </c>
      <c r="D92" s="39">
        <v>76</v>
      </c>
      <c r="E92" s="39">
        <v>80</v>
      </c>
      <c r="F92" s="39">
        <v>81</v>
      </c>
      <c r="G92" s="39">
        <v>78</v>
      </c>
      <c r="H92" s="39">
        <v>66</v>
      </c>
      <c r="I92" s="39">
        <v>55</v>
      </c>
      <c r="J92" s="39">
        <v>45</v>
      </c>
      <c r="K92" s="39">
        <v>37</v>
      </c>
      <c r="L92" s="39">
        <v>29</v>
      </c>
      <c r="M92" s="39">
        <v>21</v>
      </c>
      <c r="N92" s="39">
        <v>12</v>
      </c>
      <c r="O92" s="39">
        <v>6</v>
      </c>
      <c r="P92" s="39">
        <v>11</v>
      </c>
      <c r="Q92" s="39">
        <v>30</v>
      </c>
      <c r="R92" s="39">
        <v>45</v>
      </c>
      <c r="S92" s="39">
        <v>55</v>
      </c>
      <c r="T92" s="39">
        <v>60</v>
      </c>
      <c r="U92" s="39">
        <v>66</v>
      </c>
      <c r="V92" s="39">
        <v>70</v>
      </c>
      <c r="W92" s="39">
        <v>72</v>
      </c>
      <c r="X92" s="39">
        <v>69</v>
      </c>
      <c r="Y92" s="40">
        <v>59</v>
      </c>
      <c r="Z92" s="41">
        <f t="shared" si="6"/>
        <v>1267</v>
      </c>
      <c r="AA92" s="42">
        <f t="shared" si="7"/>
        <v>52.791666666666664</v>
      </c>
    </row>
    <row r="93" spans="1:27" ht="14.1" customHeight="1" x14ac:dyDescent="0.2">
      <c r="A93" s="37">
        <v>12</v>
      </c>
      <c r="B93" s="38">
        <v>51</v>
      </c>
      <c r="C93" s="39">
        <v>49</v>
      </c>
      <c r="D93" s="39">
        <v>55</v>
      </c>
      <c r="E93" s="39">
        <v>69</v>
      </c>
      <c r="F93" s="39">
        <v>77</v>
      </c>
      <c r="G93" s="39">
        <v>80</v>
      </c>
      <c r="H93" s="39">
        <v>80</v>
      </c>
      <c r="I93" s="39">
        <v>69</v>
      </c>
      <c r="J93" s="39">
        <v>53</v>
      </c>
      <c r="K93" s="39">
        <v>43</v>
      </c>
      <c r="L93" s="39">
        <v>35</v>
      </c>
      <c r="M93" s="39">
        <v>27</v>
      </c>
      <c r="N93" s="39">
        <v>18</v>
      </c>
      <c r="O93" s="39">
        <v>10</v>
      </c>
      <c r="P93" s="39">
        <v>8</v>
      </c>
      <c r="Q93" s="39">
        <v>21</v>
      </c>
      <c r="R93" s="39">
        <v>40</v>
      </c>
      <c r="S93" s="39">
        <v>52</v>
      </c>
      <c r="T93" s="39">
        <v>59</v>
      </c>
      <c r="U93" s="39">
        <v>65</v>
      </c>
      <c r="V93" s="39">
        <v>70</v>
      </c>
      <c r="W93" s="39">
        <v>72</v>
      </c>
      <c r="X93" s="39">
        <v>67</v>
      </c>
      <c r="Y93" s="40">
        <v>53</v>
      </c>
      <c r="Z93" s="41">
        <f t="shared" si="6"/>
        <v>1223</v>
      </c>
      <c r="AA93" s="42">
        <f t="shared" si="7"/>
        <v>50.958333333333336</v>
      </c>
    </row>
    <row r="94" spans="1:27" ht="14.1" customHeight="1" x14ac:dyDescent="0.2">
      <c r="A94" s="37">
        <v>13</v>
      </c>
      <c r="B94" s="38">
        <v>43</v>
      </c>
      <c r="C94" s="39">
        <v>38</v>
      </c>
      <c r="D94" s="39">
        <v>38</v>
      </c>
      <c r="E94" s="39">
        <v>50</v>
      </c>
      <c r="F94" s="39">
        <v>65</v>
      </c>
      <c r="G94" s="39">
        <v>73</v>
      </c>
      <c r="H94" s="39">
        <v>77</v>
      </c>
      <c r="I94" s="39">
        <v>79</v>
      </c>
      <c r="J94" s="39">
        <v>70</v>
      </c>
      <c r="K94" s="39">
        <v>52</v>
      </c>
      <c r="L94" s="39">
        <v>42</v>
      </c>
      <c r="M94" s="39">
        <v>34</v>
      </c>
      <c r="N94" s="39">
        <v>25</v>
      </c>
      <c r="O94" s="39">
        <v>16</v>
      </c>
      <c r="P94" s="39">
        <v>9</v>
      </c>
      <c r="Q94" s="39">
        <v>13</v>
      </c>
      <c r="R94" s="39">
        <v>33</v>
      </c>
      <c r="S94" s="39">
        <v>49</v>
      </c>
      <c r="T94" s="39">
        <v>57</v>
      </c>
      <c r="U94" s="39">
        <v>63</v>
      </c>
      <c r="V94" s="39">
        <v>68</v>
      </c>
      <c r="W94" s="39">
        <v>70</v>
      </c>
      <c r="X94" s="39">
        <v>61</v>
      </c>
      <c r="Y94" s="40">
        <v>45</v>
      </c>
      <c r="Z94" s="41">
        <f t="shared" si="6"/>
        <v>1170</v>
      </c>
      <c r="AA94" s="42">
        <f t="shared" si="7"/>
        <v>48.75</v>
      </c>
    </row>
    <row r="95" spans="1:27" ht="14.1" customHeight="1" x14ac:dyDescent="0.2">
      <c r="A95" s="37">
        <v>14</v>
      </c>
      <c r="B95" s="38">
        <v>36</v>
      </c>
      <c r="C95" s="39">
        <v>29</v>
      </c>
      <c r="D95" s="39">
        <v>26</v>
      </c>
      <c r="E95" s="39">
        <v>35</v>
      </c>
      <c r="F95" s="39">
        <v>54</v>
      </c>
      <c r="G95" s="39">
        <v>65</v>
      </c>
      <c r="H95" s="39">
        <v>71</v>
      </c>
      <c r="I95" s="39">
        <v>75</v>
      </c>
      <c r="J95" s="39">
        <v>76</v>
      </c>
      <c r="K95" s="39">
        <v>66</v>
      </c>
      <c r="L95" s="39">
        <v>48</v>
      </c>
      <c r="M95" s="39">
        <v>37</v>
      </c>
      <c r="N95" s="39">
        <v>29</v>
      </c>
      <c r="O95" s="39">
        <v>21</v>
      </c>
      <c r="P95" s="39">
        <v>12</v>
      </c>
      <c r="Q95" s="39">
        <v>6</v>
      </c>
      <c r="R95" s="39">
        <v>19</v>
      </c>
      <c r="S95" s="39">
        <v>41</v>
      </c>
      <c r="T95" s="39">
        <v>53</v>
      </c>
      <c r="U95" s="39">
        <v>59</v>
      </c>
      <c r="V95" s="39">
        <v>65</v>
      </c>
      <c r="W95" s="39">
        <v>68</v>
      </c>
      <c r="X95" s="39">
        <v>63</v>
      </c>
      <c r="Y95" s="40">
        <v>46</v>
      </c>
      <c r="Z95" s="41">
        <f t="shared" si="6"/>
        <v>1100</v>
      </c>
      <c r="AA95" s="42">
        <f t="shared" si="7"/>
        <v>45.833333333333336</v>
      </c>
    </row>
    <row r="96" spans="1:27" ht="14.1" customHeight="1" x14ac:dyDescent="0.2">
      <c r="A96" s="37">
        <v>15</v>
      </c>
      <c r="B96" s="38">
        <v>34</v>
      </c>
      <c r="C96" s="39">
        <v>26</v>
      </c>
      <c r="D96" s="39">
        <v>20</v>
      </c>
      <c r="E96" s="39">
        <v>19</v>
      </c>
      <c r="F96" s="39">
        <v>35</v>
      </c>
      <c r="G96" s="39">
        <v>54</v>
      </c>
      <c r="H96" s="39">
        <v>63</v>
      </c>
      <c r="I96" s="39">
        <v>69</v>
      </c>
      <c r="J96" s="39">
        <v>73</v>
      </c>
      <c r="K96" s="39">
        <v>72</v>
      </c>
      <c r="L96" s="39">
        <v>57</v>
      </c>
      <c r="M96" s="39">
        <v>41</v>
      </c>
      <c r="N96" s="39">
        <v>32</v>
      </c>
      <c r="O96" s="39">
        <v>24</v>
      </c>
      <c r="P96" s="39">
        <v>15</v>
      </c>
      <c r="Q96" s="39">
        <v>7</v>
      </c>
      <c r="R96" s="39">
        <v>14</v>
      </c>
      <c r="S96" s="39">
        <v>36</v>
      </c>
      <c r="T96" s="39">
        <v>51</v>
      </c>
      <c r="U96" s="39">
        <v>58</v>
      </c>
      <c r="V96" s="39">
        <v>64</v>
      </c>
      <c r="W96" s="39">
        <v>67</v>
      </c>
      <c r="X96" s="39">
        <v>64</v>
      </c>
      <c r="Y96" s="40">
        <v>47</v>
      </c>
      <c r="Z96" s="41">
        <f t="shared" si="6"/>
        <v>1042</v>
      </c>
      <c r="AA96" s="42">
        <f t="shared" si="7"/>
        <v>43.416666666666664</v>
      </c>
    </row>
    <row r="97" spans="1:27" ht="14.1" customHeight="1" x14ac:dyDescent="0.2">
      <c r="A97" s="37">
        <v>16</v>
      </c>
      <c r="B97" s="38">
        <v>34</v>
      </c>
      <c r="C97" s="39">
        <v>25</v>
      </c>
      <c r="D97" s="39">
        <v>18</v>
      </c>
      <c r="E97" s="39">
        <v>11</v>
      </c>
      <c r="F97" s="39">
        <v>17</v>
      </c>
      <c r="G97" s="39">
        <v>40</v>
      </c>
      <c r="H97" s="39">
        <v>53</v>
      </c>
      <c r="I97" s="39">
        <v>60</v>
      </c>
      <c r="J97" s="39">
        <v>65</v>
      </c>
      <c r="K97" s="39">
        <v>67</v>
      </c>
      <c r="L97" s="39">
        <v>59</v>
      </c>
      <c r="M97" s="39">
        <v>40</v>
      </c>
      <c r="N97" s="39">
        <v>29</v>
      </c>
      <c r="O97" s="39">
        <v>21</v>
      </c>
      <c r="P97" s="39">
        <v>12</v>
      </c>
      <c r="Q97" s="39">
        <v>1</v>
      </c>
      <c r="R97" s="39">
        <v>-2</v>
      </c>
      <c r="S97" s="39">
        <v>17</v>
      </c>
      <c r="T97" s="39">
        <v>36</v>
      </c>
      <c r="U97" s="39">
        <v>45</v>
      </c>
      <c r="V97" s="39">
        <v>53</v>
      </c>
      <c r="W97" s="39">
        <v>57</v>
      </c>
      <c r="X97" s="39">
        <v>59</v>
      </c>
      <c r="Y97" s="40">
        <v>48</v>
      </c>
      <c r="Z97" s="41">
        <f t="shared" si="6"/>
        <v>865</v>
      </c>
      <c r="AA97" s="42">
        <f t="shared" si="7"/>
        <v>36.041666666666664</v>
      </c>
    </row>
    <row r="98" spans="1:27" ht="14.1" customHeight="1" x14ac:dyDescent="0.2">
      <c r="A98" s="37">
        <v>17</v>
      </c>
      <c r="B98" s="38">
        <v>30</v>
      </c>
      <c r="C98" s="39">
        <v>20</v>
      </c>
      <c r="D98" s="39">
        <v>12</v>
      </c>
      <c r="E98" s="39">
        <v>4</v>
      </c>
      <c r="F98" s="39">
        <v>-1</v>
      </c>
      <c r="G98" s="39">
        <v>14</v>
      </c>
      <c r="H98" s="39">
        <v>35</v>
      </c>
      <c r="I98" s="39">
        <v>46</v>
      </c>
      <c r="J98" s="39">
        <v>52</v>
      </c>
      <c r="K98" s="39">
        <v>57</v>
      </c>
      <c r="L98" s="39">
        <v>58</v>
      </c>
      <c r="M98" s="39">
        <v>49</v>
      </c>
      <c r="N98" s="39">
        <v>30</v>
      </c>
      <c r="O98" s="39">
        <v>20</v>
      </c>
      <c r="P98" s="39">
        <v>11</v>
      </c>
      <c r="Q98" s="39">
        <v>3</v>
      </c>
      <c r="R98" s="39">
        <v>0</v>
      </c>
      <c r="S98" s="39">
        <v>18</v>
      </c>
      <c r="T98" s="39">
        <v>38</v>
      </c>
      <c r="U98" s="39">
        <v>49</v>
      </c>
      <c r="V98" s="39">
        <v>56</v>
      </c>
      <c r="W98" s="39">
        <v>61</v>
      </c>
      <c r="X98" s="39">
        <v>64</v>
      </c>
      <c r="Y98" s="40">
        <v>61</v>
      </c>
      <c r="Z98" s="41">
        <f t="shared" si="6"/>
        <v>787</v>
      </c>
      <c r="AA98" s="42">
        <f t="shared" si="7"/>
        <v>32.791666666666664</v>
      </c>
    </row>
    <row r="99" spans="1:27" ht="14.1" customHeight="1" x14ac:dyDescent="0.2">
      <c r="A99" s="37">
        <v>18</v>
      </c>
      <c r="B99" s="38">
        <v>45</v>
      </c>
      <c r="C99" s="39">
        <v>31</v>
      </c>
      <c r="D99" s="39">
        <v>23</v>
      </c>
      <c r="E99" s="39">
        <v>15</v>
      </c>
      <c r="F99" s="39">
        <v>7</v>
      </c>
      <c r="G99" s="39">
        <v>8</v>
      </c>
      <c r="H99" s="39">
        <v>29</v>
      </c>
      <c r="I99" s="39">
        <v>45</v>
      </c>
      <c r="J99" s="39">
        <v>53</v>
      </c>
      <c r="K99" s="39">
        <v>58</v>
      </c>
      <c r="L99" s="39">
        <v>63</v>
      </c>
      <c r="M99" s="39">
        <v>63</v>
      </c>
      <c r="N99" s="39">
        <v>51</v>
      </c>
      <c r="O99" s="39">
        <v>34</v>
      </c>
      <c r="P99" s="39">
        <v>23</v>
      </c>
      <c r="Q99" s="39">
        <v>17</v>
      </c>
      <c r="R99" s="39">
        <v>12</v>
      </c>
      <c r="S99" s="39">
        <v>19</v>
      </c>
      <c r="T99" s="39">
        <v>39</v>
      </c>
      <c r="U99" s="39">
        <v>52</v>
      </c>
      <c r="V99" s="39">
        <v>60</v>
      </c>
      <c r="W99" s="39">
        <v>64</v>
      </c>
      <c r="X99" s="39">
        <v>68</v>
      </c>
      <c r="Y99" s="40">
        <v>68</v>
      </c>
      <c r="Z99" s="41">
        <f t="shared" si="6"/>
        <v>947</v>
      </c>
      <c r="AA99" s="42">
        <f t="shared" si="7"/>
        <v>39.458333333333336</v>
      </c>
    </row>
    <row r="100" spans="1:27" ht="14.1" customHeight="1" x14ac:dyDescent="0.2">
      <c r="A100" s="37">
        <v>19</v>
      </c>
      <c r="B100" s="38">
        <v>56</v>
      </c>
      <c r="C100" s="39">
        <v>40</v>
      </c>
      <c r="D100" s="39">
        <v>30</v>
      </c>
      <c r="E100" s="39">
        <v>23</v>
      </c>
      <c r="F100" s="39">
        <v>16</v>
      </c>
      <c r="G100" s="39">
        <v>11</v>
      </c>
      <c r="H100" s="39">
        <v>20</v>
      </c>
      <c r="I100" s="39">
        <v>39</v>
      </c>
      <c r="J100" s="39">
        <v>49</v>
      </c>
      <c r="K100" s="39">
        <v>56</v>
      </c>
      <c r="L100" s="39">
        <v>60</v>
      </c>
      <c r="M100" s="39">
        <v>62</v>
      </c>
      <c r="N100" s="39">
        <v>59</v>
      </c>
      <c r="O100" s="39">
        <v>44</v>
      </c>
      <c r="P100" s="39">
        <v>31</v>
      </c>
      <c r="Q100" s="39">
        <v>25</v>
      </c>
      <c r="R100" s="39">
        <v>22</v>
      </c>
      <c r="S100" s="39">
        <v>27</v>
      </c>
      <c r="T100" s="39">
        <v>45</v>
      </c>
      <c r="U100" s="39">
        <v>57</v>
      </c>
      <c r="V100" s="39">
        <v>64</v>
      </c>
      <c r="W100" s="39">
        <v>69</v>
      </c>
      <c r="X100" s="39">
        <v>72</v>
      </c>
      <c r="Y100" s="40">
        <v>72</v>
      </c>
      <c r="Z100" s="41">
        <f t="shared" si="6"/>
        <v>1049</v>
      </c>
      <c r="AA100" s="42">
        <f t="shared" si="7"/>
        <v>43.708333333333336</v>
      </c>
    </row>
    <row r="101" spans="1:27" ht="14.1" customHeight="1" x14ac:dyDescent="0.2">
      <c r="A101" s="37">
        <v>20</v>
      </c>
      <c r="B101" s="38">
        <v>62</v>
      </c>
      <c r="C101" s="39">
        <v>46</v>
      </c>
      <c r="D101" s="39">
        <v>36</v>
      </c>
      <c r="E101" s="39">
        <v>29</v>
      </c>
      <c r="F101" s="39">
        <v>22</v>
      </c>
      <c r="G101" s="39">
        <v>15</v>
      </c>
      <c r="H101" s="39">
        <v>15</v>
      </c>
      <c r="I101" s="39">
        <v>30</v>
      </c>
      <c r="J101" s="39">
        <v>43</v>
      </c>
      <c r="K101" s="39">
        <v>50</v>
      </c>
      <c r="L101" s="39">
        <v>56</v>
      </c>
      <c r="M101" s="39">
        <v>59</v>
      </c>
      <c r="N101" s="39">
        <v>60</v>
      </c>
      <c r="O101" s="39">
        <v>54</v>
      </c>
      <c r="P101" s="39">
        <v>41</v>
      </c>
      <c r="Q101" s="39">
        <v>32</v>
      </c>
      <c r="R101" s="39">
        <v>30</v>
      </c>
      <c r="S101" s="39">
        <v>37</v>
      </c>
      <c r="T101" s="39">
        <v>52</v>
      </c>
      <c r="U101" s="39">
        <v>62</v>
      </c>
      <c r="V101" s="39">
        <v>69</v>
      </c>
      <c r="W101" s="39">
        <v>73</v>
      </c>
      <c r="X101" s="39">
        <v>76</v>
      </c>
      <c r="Y101" s="40">
        <v>76</v>
      </c>
      <c r="Z101" s="41">
        <f t="shared" si="6"/>
        <v>1125</v>
      </c>
      <c r="AA101" s="42">
        <f t="shared" si="7"/>
        <v>46.875</v>
      </c>
    </row>
    <row r="102" spans="1:27" ht="14.1" customHeight="1" x14ac:dyDescent="0.2">
      <c r="A102" s="37">
        <v>21</v>
      </c>
      <c r="B102" s="38">
        <v>67</v>
      </c>
      <c r="C102" s="39">
        <v>52</v>
      </c>
      <c r="D102" s="39">
        <v>41</v>
      </c>
      <c r="E102" s="39">
        <v>34</v>
      </c>
      <c r="F102" s="39">
        <v>26</v>
      </c>
      <c r="G102" s="39">
        <v>20</v>
      </c>
      <c r="H102" s="39">
        <v>14</v>
      </c>
      <c r="I102" s="39">
        <v>16</v>
      </c>
      <c r="J102" s="39">
        <v>27</v>
      </c>
      <c r="K102" s="39">
        <v>40</v>
      </c>
      <c r="L102" s="39">
        <v>48</v>
      </c>
      <c r="M102" s="39">
        <v>53</v>
      </c>
      <c r="N102" s="39">
        <v>56</v>
      </c>
      <c r="O102" s="39">
        <v>57</v>
      </c>
      <c r="P102" s="39">
        <v>53</v>
      </c>
      <c r="Q102" s="39">
        <v>47</v>
      </c>
      <c r="R102" s="39">
        <v>44</v>
      </c>
      <c r="S102" s="39">
        <v>48</v>
      </c>
      <c r="T102" s="39">
        <v>56</v>
      </c>
      <c r="U102" s="39">
        <v>64</v>
      </c>
      <c r="V102" s="39">
        <v>70</v>
      </c>
      <c r="W102" s="39">
        <v>74</v>
      </c>
      <c r="X102" s="39">
        <v>77</v>
      </c>
      <c r="Y102" s="40">
        <v>78</v>
      </c>
      <c r="Z102" s="41">
        <f t="shared" si="6"/>
        <v>1162</v>
      </c>
      <c r="AA102" s="42">
        <f t="shared" si="7"/>
        <v>48.416666666666664</v>
      </c>
    </row>
    <row r="103" spans="1:27" ht="14.1" customHeight="1" x14ac:dyDescent="0.2">
      <c r="A103" s="37">
        <v>22</v>
      </c>
      <c r="B103" s="38">
        <v>75</v>
      </c>
      <c r="C103" s="39">
        <v>62</v>
      </c>
      <c r="D103" s="39">
        <v>50</v>
      </c>
      <c r="E103" s="39">
        <v>42</v>
      </c>
      <c r="F103" s="39">
        <v>35</v>
      </c>
      <c r="G103" s="39">
        <v>27</v>
      </c>
      <c r="H103" s="39">
        <v>20</v>
      </c>
      <c r="I103" s="39">
        <v>16</v>
      </c>
      <c r="J103" s="39">
        <v>16</v>
      </c>
      <c r="K103" s="39">
        <v>22</v>
      </c>
      <c r="L103" s="39">
        <v>35</v>
      </c>
      <c r="M103" s="39">
        <v>45</v>
      </c>
      <c r="N103" s="39">
        <v>51</v>
      </c>
      <c r="O103" s="39">
        <v>55</v>
      </c>
      <c r="P103" s="39">
        <v>57</v>
      </c>
      <c r="Q103" s="39">
        <v>58</v>
      </c>
      <c r="R103" s="39">
        <v>59</v>
      </c>
      <c r="S103" s="39">
        <v>61</v>
      </c>
      <c r="T103" s="39">
        <v>65</v>
      </c>
      <c r="U103" s="39">
        <v>70</v>
      </c>
      <c r="V103" s="39">
        <v>76</v>
      </c>
      <c r="W103" s="39">
        <v>80</v>
      </c>
      <c r="X103" s="39">
        <v>83</v>
      </c>
      <c r="Y103" s="40">
        <v>86</v>
      </c>
      <c r="Z103" s="41">
        <f t="shared" si="6"/>
        <v>1246</v>
      </c>
      <c r="AA103" s="42">
        <f t="shared" si="7"/>
        <v>51.916666666666664</v>
      </c>
    </row>
    <row r="104" spans="1:27" ht="14.1" customHeight="1" x14ac:dyDescent="0.2">
      <c r="A104" s="37">
        <v>23</v>
      </c>
      <c r="B104" s="38">
        <v>85</v>
      </c>
      <c r="C104" s="39">
        <v>77</v>
      </c>
      <c r="D104" s="39">
        <v>63</v>
      </c>
      <c r="E104" s="39">
        <v>54</v>
      </c>
      <c r="F104" s="39">
        <v>47</v>
      </c>
      <c r="G104" s="39">
        <v>40</v>
      </c>
      <c r="H104" s="39">
        <v>33</v>
      </c>
      <c r="I104" s="39">
        <v>27</v>
      </c>
      <c r="J104" s="39">
        <v>19</v>
      </c>
      <c r="K104" s="39">
        <v>17</v>
      </c>
      <c r="L104" s="39">
        <v>19</v>
      </c>
      <c r="M104" s="39">
        <v>27</v>
      </c>
      <c r="N104" s="39">
        <v>38</v>
      </c>
      <c r="O104" s="39">
        <v>46</v>
      </c>
      <c r="P104" s="39">
        <v>52</v>
      </c>
      <c r="Q104" s="39">
        <v>57</v>
      </c>
      <c r="R104" s="39">
        <v>61</v>
      </c>
      <c r="S104" s="39">
        <v>65</v>
      </c>
      <c r="T104" s="39">
        <v>68</v>
      </c>
      <c r="U104" s="39">
        <v>71</v>
      </c>
      <c r="V104" s="39">
        <v>75</v>
      </c>
      <c r="W104" s="39">
        <v>78</v>
      </c>
      <c r="X104" s="39">
        <v>80</v>
      </c>
      <c r="Y104" s="40">
        <v>81</v>
      </c>
      <c r="Z104" s="41">
        <f t="shared" si="6"/>
        <v>1280</v>
      </c>
      <c r="AA104" s="42">
        <f t="shared" si="7"/>
        <v>53.333333333333336</v>
      </c>
    </row>
    <row r="105" spans="1:27" ht="14.1" customHeight="1" x14ac:dyDescent="0.2">
      <c r="A105" s="43">
        <v>24</v>
      </c>
      <c r="B105" s="38">
        <v>80</v>
      </c>
      <c r="C105" s="39">
        <v>75</v>
      </c>
      <c r="D105" s="39">
        <v>65</v>
      </c>
      <c r="E105" s="39">
        <v>56</v>
      </c>
      <c r="F105" s="39">
        <v>49</v>
      </c>
      <c r="G105" s="39">
        <v>42</v>
      </c>
      <c r="H105" s="39">
        <v>35</v>
      </c>
      <c r="I105" s="39">
        <v>27</v>
      </c>
      <c r="J105" s="39">
        <v>19</v>
      </c>
      <c r="K105" s="39">
        <v>11</v>
      </c>
      <c r="L105" s="39">
        <v>7</v>
      </c>
      <c r="M105" s="39">
        <v>8</v>
      </c>
      <c r="N105" s="39">
        <v>17</v>
      </c>
      <c r="O105" s="39">
        <v>29</v>
      </c>
      <c r="P105" s="39">
        <v>39</v>
      </c>
      <c r="Q105" s="39">
        <v>46</v>
      </c>
      <c r="R105" s="39">
        <v>50</v>
      </c>
      <c r="S105" s="39">
        <v>55</v>
      </c>
      <c r="T105" s="39">
        <v>60</v>
      </c>
      <c r="U105" s="39">
        <v>63</v>
      </c>
      <c r="V105" s="39">
        <v>65</v>
      </c>
      <c r="W105" s="39">
        <v>67</v>
      </c>
      <c r="X105" s="39">
        <v>68</v>
      </c>
      <c r="Y105" s="40">
        <v>68</v>
      </c>
      <c r="Z105" s="41">
        <f t="shared" si="6"/>
        <v>1101</v>
      </c>
      <c r="AA105" s="42">
        <f t="shared" si="7"/>
        <v>45.875</v>
      </c>
    </row>
    <row r="106" spans="1:27" ht="14.1" customHeight="1" x14ac:dyDescent="0.2">
      <c r="A106" s="37">
        <v>25</v>
      </c>
      <c r="B106" s="38">
        <v>66</v>
      </c>
      <c r="C106" s="39">
        <v>63</v>
      </c>
      <c r="D106" s="39">
        <v>58</v>
      </c>
      <c r="E106" s="39">
        <v>52</v>
      </c>
      <c r="F106" s="39">
        <v>46</v>
      </c>
      <c r="G106" s="39">
        <v>39</v>
      </c>
      <c r="H106" s="39">
        <v>32</v>
      </c>
      <c r="I106" s="39">
        <v>25</v>
      </c>
      <c r="J106" s="39">
        <v>17</v>
      </c>
      <c r="K106" s="39">
        <v>8</v>
      </c>
      <c r="L106" s="39">
        <v>0</v>
      </c>
      <c r="M106" s="39">
        <v>-5</v>
      </c>
      <c r="N106" s="39">
        <v>-2</v>
      </c>
      <c r="O106" s="39">
        <v>13</v>
      </c>
      <c r="P106" s="39">
        <v>29</v>
      </c>
      <c r="Q106" s="39">
        <v>39</v>
      </c>
      <c r="R106" s="39">
        <v>45</v>
      </c>
      <c r="S106" s="39">
        <v>51</v>
      </c>
      <c r="T106" s="39">
        <v>55</v>
      </c>
      <c r="U106" s="39">
        <v>58</v>
      </c>
      <c r="V106" s="39">
        <v>58</v>
      </c>
      <c r="W106" s="39">
        <v>55</v>
      </c>
      <c r="X106" s="39">
        <v>50</v>
      </c>
      <c r="Y106" s="40">
        <v>46</v>
      </c>
      <c r="Z106" s="41">
        <f t="shared" si="6"/>
        <v>898</v>
      </c>
      <c r="AA106" s="42">
        <f t="shared" si="7"/>
        <v>37.416666666666664</v>
      </c>
    </row>
    <row r="107" spans="1:27" ht="14.1" customHeight="1" x14ac:dyDescent="0.2">
      <c r="A107" s="37">
        <v>26</v>
      </c>
      <c r="B107" s="38">
        <v>45</v>
      </c>
      <c r="C107" s="39">
        <v>47</v>
      </c>
      <c r="D107" s="39">
        <v>50</v>
      </c>
      <c r="E107" s="39">
        <v>51</v>
      </c>
      <c r="F107" s="39">
        <v>49</v>
      </c>
      <c r="G107" s="39">
        <v>40</v>
      </c>
      <c r="H107" s="39">
        <v>31</v>
      </c>
      <c r="I107" s="39">
        <v>23</v>
      </c>
      <c r="J107" s="39">
        <v>13</v>
      </c>
      <c r="K107" s="39">
        <v>4</v>
      </c>
      <c r="L107" s="39">
        <v>-7</v>
      </c>
      <c r="M107" s="39">
        <v>-17</v>
      </c>
      <c r="N107" s="39">
        <v>-24</v>
      </c>
      <c r="O107" s="39">
        <v>-16</v>
      </c>
      <c r="P107" s="39">
        <v>6</v>
      </c>
      <c r="Q107" s="39">
        <v>20</v>
      </c>
      <c r="R107" s="39">
        <v>29</v>
      </c>
      <c r="S107" s="39">
        <v>36</v>
      </c>
      <c r="T107" s="39">
        <v>42</v>
      </c>
      <c r="U107" s="39">
        <v>47</v>
      </c>
      <c r="V107" s="39">
        <v>48</v>
      </c>
      <c r="W107" s="39">
        <v>43</v>
      </c>
      <c r="X107" s="39">
        <v>32</v>
      </c>
      <c r="Y107" s="40">
        <v>25</v>
      </c>
      <c r="Z107" s="41">
        <f t="shared" si="6"/>
        <v>617</v>
      </c>
      <c r="AA107" s="42">
        <f t="shared" si="7"/>
        <v>25.708333333333332</v>
      </c>
    </row>
    <row r="108" spans="1:27" ht="14.1" customHeight="1" x14ac:dyDescent="0.2">
      <c r="A108" s="37">
        <v>27</v>
      </c>
      <c r="B108" s="38">
        <v>23</v>
      </c>
      <c r="C108" s="39">
        <v>25</v>
      </c>
      <c r="D108" s="39">
        <v>36</v>
      </c>
      <c r="E108" s="39">
        <v>47</v>
      </c>
      <c r="F108" s="39">
        <v>52</v>
      </c>
      <c r="G108" s="39">
        <v>52</v>
      </c>
      <c r="H108" s="39">
        <v>45</v>
      </c>
      <c r="I108" s="39">
        <v>31</v>
      </c>
      <c r="J108" s="39">
        <v>19</v>
      </c>
      <c r="K108" s="39">
        <v>10</v>
      </c>
      <c r="L108" s="39">
        <v>0</v>
      </c>
      <c r="M108" s="39">
        <v>-10</v>
      </c>
      <c r="N108" s="39">
        <v>-20</v>
      </c>
      <c r="O108" s="39">
        <v>-25</v>
      </c>
      <c r="P108" s="39">
        <v>-10</v>
      </c>
      <c r="Q108" s="39">
        <v>12</v>
      </c>
      <c r="R108" s="39">
        <v>24</v>
      </c>
      <c r="S108" s="39">
        <v>32</v>
      </c>
      <c r="T108" s="39">
        <v>39</v>
      </c>
      <c r="U108" s="39">
        <v>44</v>
      </c>
      <c r="V108" s="39">
        <v>47</v>
      </c>
      <c r="W108" s="39">
        <v>43</v>
      </c>
      <c r="X108" s="39">
        <v>29</v>
      </c>
      <c r="Y108" s="40">
        <v>18</v>
      </c>
      <c r="Z108" s="41">
        <f t="shared" si="6"/>
        <v>563</v>
      </c>
      <c r="AA108" s="42">
        <f t="shared" si="7"/>
        <v>23.458333333333332</v>
      </c>
    </row>
    <row r="109" spans="1:27" ht="14.1" customHeight="1" x14ac:dyDescent="0.2">
      <c r="A109" s="37">
        <v>28</v>
      </c>
      <c r="B109" s="38">
        <v>11</v>
      </c>
      <c r="C109" s="39">
        <v>9</v>
      </c>
      <c r="D109" s="39">
        <v>19</v>
      </c>
      <c r="E109" s="39">
        <v>37</v>
      </c>
      <c r="F109" s="39">
        <v>47</v>
      </c>
      <c r="G109" s="39">
        <v>53</v>
      </c>
      <c r="H109" s="39">
        <v>55</v>
      </c>
      <c r="I109" s="39">
        <v>54</v>
      </c>
      <c r="J109" s="39">
        <v>36</v>
      </c>
      <c r="K109" s="39">
        <v>22</v>
      </c>
      <c r="L109" s="39">
        <v>13</v>
      </c>
      <c r="M109" s="39">
        <v>4</v>
      </c>
      <c r="N109" s="39">
        <v>-6</v>
      </c>
      <c r="O109" s="39">
        <v>-17</v>
      </c>
      <c r="P109" s="39">
        <v>-20</v>
      </c>
      <c r="Q109" s="39">
        <v>3</v>
      </c>
      <c r="R109" s="39">
        <v>23</v>
      </c>
      <c r="S109" s="39">
        <v>33</v>
      </c>
      <c r="T109" s="39">
        <v>40</v>
      </c>
      <c r="U109" s="39">
        <v>46</v>
      </c>
      <c r="V109" s="39">
        <v>49</v>
      </c>
      <c r="W109" s="39">
        <v>44</v>
      </c>
      <c r="X109" s="39">
        <v>29</v>
      </c>
      <c r="Y109" s="40">
        <v>16</v>
      </c>
      <c r="Z109" s="41">
        <f t="shared" si="6"/>
        <v>600</v>
      </c>
      <c r="AA109" s="42">
        <f t="shared" si="7"/>
        <v>25</v>
      </c>
    </row>
    <row r="110" spans="1:27" ht="14.1" customHeight="1" x14ac:dyDescent="0.2">
      <c r="A110" s="37">
        <v>29</v>
      </c>
      <c r="B110" s="38">
        <v>9</v>
      </c>
      <c r="C110" s="39">
        <v>1</v>
      </c>
      <c r="D110" s="39">
        <v>0</v>
      </c>
      <c r="E110" s="39">
        <v>21</v>
      </c>
      <c r="F110" s="39">
        <v>40</v>
      </c>
      <c r="G110" s="39">
        <v>48</v>
      </c>
      <c r="H110" s="39">
        <v>54</v>
      </c>
      <c r="I110" s="39">
        <v>57</v>
      </c>
      <c r="J110" s="39">
        <v>55</v>
      </c>
      <c r="K110" s="39">
        <v>40</v>
      </c>
      <c r="L110" s="39">
        <v>25</v>
      </c>
      <c r="M110" s="39">
        <v>15</v>
      </c>
      <c r="N110" s="39">
        <v>7</v>
      </c>
      <c r="O110" s="39">
        <v>-3</v>
      </c>
      <c r="P110" s="39">
        <v>-13</v>
      </c>
      <c r="Q110" s="39">
        <v>-4</v>
      </c>
      <c r="R110" s="39">
        <v>22</v>
      </c>
      <c r="S110" s="39">
        <v>36</v>
      </c>
      <c r="T110" s="39">
        <v>44</v>
      </c>
      <c r="U110" s="39">
        <v>50</v>
      </c>
      <c r="V110" s="39">
        <v>55</v>
      </c>
      <c r="W110" s="39">
        <v>55</v>
      </c>
      <c r="X110" s="39">
        <v>42</v>
      </c>
      <c r="Y110" s="40">
        <v>26</v>
      </c>
      <c r="Z110" s="41">
        <f t="shared" si="6"/>
        <v>682</v>
      </c>
      <c r="AA110" s="42">
        <f t="shared" si="7"/>
        <v>28.416666666666668</v>
      </c>
    </row>
    <row r="111" spans="1:27" ht="14.1" customHeight="1" x14ac:dyDescent="0.2">
      <c r="A111" s="37">
        <v>30</v>
      </c>
      <c r="B111" s="38">
        <v>17</v>
      </c>
      <c r="C111" s="39">
        <v>9</v>
      </c>
      <c r="D111" s="39">
        <v>1</v>
      </c>
      <c r="E111" s="39">
        <v>3</v>
      </c>
      <c r="F111" s="39">
        <v>30</v>
      </c>
      <c r="G111" s="39">
        <v>45</v>
      </c>
      <c r="H111" s="39">
        <v>53</v>
      </c>
      <c r="I111" s="39">
        <v>59</v>
      </c>
      <c r="J111" s="39">
        <v>63</v>
      </c>
      <c r="K111" s="39">
        <v>62</v>
      </c>
      <c r="L111" s="39">
        <v>49</v>
      </c>
      <c r="M111" s="39">
        <v>32</v>
      </c>
      <c r="N111" s="39">
        <v>23</v>
      </c>
      <c r="O111" s="39">
        <v>15</v>
      </c>
      <c r="P111" s="39">
        <v>6</v>
      </c>
      <c r="Q111" s="39">
        <v>0</v>
      </c>
      <c r="R111" s="39">
        <v>13</v>
      </c>
      <c r="S111" s="39">
        <v>37</v>
      </c>
      <c r="T111" s="39">
        <v>49</v>
      </c>
      <c r="U111" s="39">
        <v>55</v>
      </c>
      <c r="V111" s="39">
        <v>60</v>
      </c>
      <c r="W111" s="39">
        <v>63</v>
      </c>
      <c r="X111" s="39">
        <v>58</v>
      </c>
      <c r="Y111" s="40">
        <v>41</v>
      </c>
      <c r="Z111" s="41">
        <f t="shared" si="6"/>
        <v>843</v>
      </c>
      <c r="AA111" s="42">
        <f t="shared" si="7"/>
        <v>35.125</v>
      </c>
    </row>
    <row r="112" spans="1:27" ht="14.1" customHeight="1" x14ac:dyDescent="0.2">
      <c r="A112" s="37">
        <v>31</v>
      </c>
      <c r="B112" s="44">
        <v>28</v>
      </c>
      <c r="C112" s="45">
        <v>20</v>
      </c>
      <c r="D112" s="45">
        <v>11</v>
      </c>
      <c r="E112" s="45">
        <v>3</v>
      </c>
      <c r="F112" s="45">
        <v>7</v>
      </c>
      <c r="G112" s="45">
        <v>33</v>
      </c>
      <c r="H112" s="45">
        <v>48</v>
      </c>
      <c r="I112" s="45">
        <v>56</v>
      </c>
      <c r="J112" s="45">
        <v>61</v>
      </c>
      <c r="K112" s="45">
        <v>64</v>
      </c>
      <c r="L112" s="45">
        <v>60</v>
      </c>
      <c r="M112" s="45">
        <v>44</v>
      </c>
      <c r="N112" s="45">
        <v>30</v>
      </c>
      <c r="O112" s="45">
        <v>21</v>
      </c>
      <c r="P112" s="45">
        <v>14</v>
      </c>
      <c r="Q112" s="45">
        <v>4</v>
      </c>
      <c r="R112" s="45">
        <v>5</v>
      </c>
      <c r="S112" s="45">
        <v>29</v>
      </c>
      <c r="T112" s="45">
        <v>45</v>
      </c>
      <c r="U112" s="45">
        <v>53</v>
      </c>
      <c r="V112" s="45">
        <v>59</v>
      </c>
      <c r="W112" s="45">
        <v>62</v>
      </c>
      <c r="X112" s="45">
        <v>59</v>
      </c>
      <c r="Y112" s="46">
        <v>43</v>
      </c>
      <c r="Z112" s="47">
        <f t="shared" si="6"/>
        <v>859</v>
      </c>
      <c r="AA112" s="48">
        <f t="shared" si="7"/>
        <v>35.791666666666664</v>
      </c>
    </row>
    <row r="113" spans="1:27" ht="14.1" customHeight="1" x14ac:dyDescent="0.2">
      <c r="A113" s="27" t="s">
        <v>7</v>
      </c>
      <c r="B113" s="49">
        <f t="shared" ref="B113:Y113" si="8">SUM(B82:B112)</f>
        <v>1584</v>
      </c>
      <c r="C113" s="49">
        <f t="shared" si="8"/>
        <v>1346</v>
      </c>
      <c r="D113" s="49">
        <f t="shared" si="8"/>
        <v>1171</v>
      </c>
      <c r="E113" s="49">
        <f t="shared" si="8"/>
        <v>1107</v>
      </c>
      <c r="F113" s="49">
        <f t="shared" si="8"/>
        <v>1133</v>
      </c>
      <c r="G113" s="49">
        <f t="shared" si="8"/>
        <v>1197</v>
      </c>
      <c r="H113" s="49">
        <f t="shared" si="8"/>
        <v>1251</v>
      </c>
      <c r="I113" s="49">
        <f t="shared" si="8"/>
        <v>1301</v>
      </c>
      <c r="J113" s="49">
        <f t="shared" si="8"/>
        <v>1287</v>
      </c>
      <c r="K113" s="49">
        <f t="shared" si="8"/>
        <v>1251</v>
      </c>
      <c r="L113" s="49">
        <f t="shared" si="8"/>
        <v>1155</v>
      </c>
      <c r="M113" s="49">
        <f t="shared" si="8"/>
        <v>1005</v>
      </c>
      <c r="N113" s="49">
        <f t="shared" si="8"/>
        <v>863</v>
      </c>
      <c r="O113" s="49">
        <f t="shared" si="8"/>
        <v>753</v>
      </c>
      <c r="P113" s="49">
        <f t="shared" si="8"/>
        <v>700</v>
      </c>
      <c r="Q113" s="50">
        <f t="shared" si="8"/>
        <v>727</v>
      </c>
      <c r="R113" s="49">
        <f t="shared" si="8"/>
        <v>863</v>
      </c>
      <c r="S113" s="49">
        <f t="shared" si="8"/>
        <v>1140</v>
      </c>
      <c r="T113" s="49">
        <f t="shared" si="8"/>
        <v>1462</v>
      </c>
      <c r="U113" s="49">
        <f t="shared" si="8"/>
        <v>1718</v>
      </c>
      <c r="V113" s="49">
        <f t="shared" si="8"/>
        <v>1907</v>
      </c>
      <c r="W113" s="49">
        <f t="shared" si="8"/>
        <v>1999</v>
      </c>
      <c r="X113" s="49">
        <f t="shared" si="8"/>
        <v>1965</v>
      </c>
      <c r="Y113" s="49">
        <f t="shared" si="8"/>
        <v>1797</v>
      </c>
      <c r="Z113" s="51">
        <f>SUM(B82:Y112)</f>
        <v>30682</v>
      </c>
      <c r="AA113" s="52">
        <f>AVERAGE(B82:Y112)</f>
        <v>41.23924731182796</v>
      </c>
    </row>
    <row r="114" spans="1:27" ht="14.1" customHeight="1" x14ac:dyDescent="0.25">
      <c r="A114" s="53" t="s">
        <v>10</v>
      </c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 spans="1:27" ht="14.1" customHeight="1" x14ac:dyDescent="0.25">
      <c r="A115" s="55" t="str">
        <f>A77</f>
        <v>Trạm: Gò Dầu Hạ</v>
      </c>
      <c r="B115" s="2"/>
      <c r="C115" s="3"/>
      <c r="D115" s="4"/>
      <c r="E115" s="5"/>
      <c r="F115" s="5"/>
      <c r="G115" s="5"/>
      <c r="H115" s="5"/>
      <c r="I115" s="6"/>
      <c r="J115" s="4"/>
      <c r="K115" s="5"/>
      <c r="L115" s="5"/>
      <c r="M115" s="5"/>
      <c r="N115" s="5"/>
      <c r="O115" s="4"/>
      <c r="P115" s="6"/>
      <c r="Q115" s="4"/>
      <c r="R115" s="5"/>
      <c r="S115" s="5"/>
      <c r="T115" s="5"/>
      <c r="U115" s="5"/>
      <c r="V115" s="6"/>
      <c r="W115" s="4"/>
      <c r="X115" s="7"/>
      <c r="Y115" s="5"/>
      <c r="Z115" s="5"/>
      <c r="AA115" s="5"/>
    </row>
    <row r="116" spans="1:27" ht="14.1" customHeight="1" x14ac:dyDescent="0.25">
      <c r="A116" s="55" t="str">
        <f>A78</f>
        <v>Sông: Vàm Cỏ Đông</v>
      </c>
      <c r="B116" s="2"/>
      <c r="C116" s="2"/>
      <c r="D116" s="9"/>
      <c r="E116" s="10"/>
      <c r="F116" s="10"/>
      <c r="G116" s="10"/>
      <c r="H116" s="10"/>
      <c r="I116" s="11"/>
      <c r="J116" s="11"/>
      <c r="K116" s="5"/>
      <c r="L116" s="5"/>
      <c r="M116" s="12" t="s">
        <v>2</v>
      </c>
      <c r="N116" s="13"/>
      <c r="O116" s="13"/>
      <c r="P116" s="13"/>
      <c r="Q116" s="14"/>
      <c r="R116" s="14"/>
      <c r="S116" s="10"/>
      <c r="T116" s="10"/>
      <c r="U116" s="10"/>
      <c r="V116" s="11"/>
      <c r="W116" s="11"/>
      <c r="X116" s="7"/>
      <c r="Y116" s="5"/>
      <c r="Z116" s="5"/>
      <c r="AA116" s="5"/>
    </row>
    <row r="117" spans="1:27" ht="14.1" customHeight="1" x14ac:dyDescent="0.25">
      <c r="A117" s="56" t="s">
        <v>3</v>
      </c>
      <c r="B117" s="16">
        <f>B79+1</f>
        <v>4</v>
      </c>
      <c r="C117" s="16"/>
      <c r="D117" s="17"/>
      <c r="E117" s="9"/>
      <c r="F117" s="18"/>
      <c r="G117" s="10"/>
      <c r="H117" s="10"/>
      <c r="I117" s="10"/>
      <c r="J117" s="4"/>
      <c r="K117" s="5"/>
      <c r="L117" s="5"/>
      <c r="M117" s="19"/>
      <c r="N117" s="20" t="s">
        <v>4</v>
      </c>
      <c r="O117" s="22">
        <f>O79</f>
        <v>2025</v>
      </c>
      <c r="P117" s="22"/>
      <c r="Q117" s="13"/>
      <c r="R117" s="14"/>
      <c r="S117" s="18"/>
      <c r="T117" s="10"/>
      <c r="U117" s="10"/>
      <c r="V117" s="10"/>
      <c r="W117" s="4"/>
      <c r="X117" s="23" t="s">
        <v>5</v>
      </c>
      <c r="Y117" s="5"/>
      <c r="Z117" s="5"/>
      <c r="AA117" s="5"/>
    </row>
    <row r="118" spans="1:27" ht="14.1" customHeight="1" x14ac:dyDescent="0.2">
      <c r="A118" s="24" t="s">
        <v>6</v>
      </c>
      <c r="B118" s="25">
        <v>0</v>
      </c>
      <c r="C118" s="26">
        <v>1</v>
      </c>
      <c r="D118" s="25">
        <v>2</v>
      </c>
      <c r="E118" s="25">
        <v>3</v>
      </c>
      <c r="F118" s="26">
        <v>4</v>
      </c>
      <c r="G118" s="25">
        <v>5</v>
      </c>
      <c r="H118" s="25">
        <v>6</v>
      </c>
      <c r="I118" s="26">
        <v>7</v>
      </c>
      <c r="J118" s="25">
        <v>8</v>
      </c>
      <c r="K118" s="25">
        <v>9</v>
      </c>
      <c r="L118" s="25">
        <v>10</v>
      </c>
      <c r="M118" s="25">
        <v>11</v>
      </c>
      <c r="N118" s="25">
        <v>12</v>
      </c>
      <c r="O118" s="25">
        <v>13</v>
      </c>
      <c r="P118" s="26">
        <v>14</v>
      </c>
      <c r="Q118" s="25">
        <v>15</v>
      </c>
      <c r="R118" s="26">
        <v>16</v>
      </c>
      <c r="S118" s="25">
        <v>17</v>
      </c>
      <c r="T118" s="26">
        <v>18</v>
      </c>
      <c r="U118" s="25">
        <v>19</v>
      </c>
      <c r="V118" s="26">
        <v>20</v>
      </c>
      <c r="W118" s="25">
        <v>21</v>
      </c>
      <c r="X118" s="26">
        <v>22</v>
      </c>
      <c r="Y118" s="25">
        <v>23</v>
      </c>
      <c r="Z118" s="27" t="s">
        <v>7</v>
      </c>
      <c r="AA118" s="27" t="s">
        <v>8</v>
      </c>
    </row>
    <row r="119" spans="1:27" ht="14.1" customHeight="1" x14ac:dyDescent="0.2">
      <c r="A119" s="28" t="s">
        <v>9</v>
      </c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30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 spans="1:27" ht="14.1" customHeight="1" x14ac:dyDescent="0.2">
      <c r="A120" s="31">
        <v>1</v>
      </c>
      <c r="B120" s="32">
        <v>29</v>
      </c>
      <c r="C120" s="33">
        <v>20</v>
      </c>
      <c r="D120" s="33">
        <v>13</v>
      </c>
      <c r="E120" s="33">
        <v>3</v>
      </c>
      <c r="F120" s="33">
        <v>-5</v>
      </c>
      <c r="G120" s="33">
        <v>7</v>
      </c>
      <c r="H120" s="33">
        <v>32</v>
      </c>
      <c r="I120" s="33">
        <v>45</v>
      </c>
      <c r="J120" s="33">
        <v>53</v>
      </c>
      <c r="K120" s="33">
        <v>58</v>
      </c>
      <c r="L120" s="33">
        <v>61</v>
      </c>
      <c r="M120" s="33">
        <v>61</v>
      </c>
      <c r="N120" s="33">
        <v>49</v>
      </c>
      <c r="O120" s="33">
        <v>33</v>
      </c>
      <c r="P120" s="33">
        <v>25</v>
      </c>
      <c r="Q120" s="33">
        <v>19</v>
      </c>
      <c r="R120" s="33">
        <v>19</v>
      </c>
      <c r="S120" s="33">
        <v>39</v>
      </c>
      <c r="T120" s="33">
        <v>56</v>
      </c>
      <c r="U120" s="33">
        <v>64</v>
      </c>
      <c r="V120" s="33">
        <v>70</v>
      </c>
      <c r="W120" s="33">
        <v>74</v>
      </c>
      <c r="X120" s="33">
        <v>76</v>
      </c>
      <c r="Y120" s="34">
        <v>69</v>
      </c>
      <c r="Z120" s="35">
        <f t="shared" ref="Z120:Z150" si="9">SUM(B120:Y120)</f>
        <v>970</v>
      </c>
      <c r="AA120" s="36">
        <f t="shared" ref="AA120:AA150" si="10">AVERAGE(B120:Y120)</f>
        <v>40.416666666666664</v>
      </c>
    </row>
    <row r="121" spans="1:27" ht="14.1" customHeight="1" x14ac:dyDescent="0.2">
      <c r="A121" s="37">
        <v>2</v>
      </c>
      <c r="B121" s="38">
        <v>52</v>
      </c>
      <c r="C121" s="39">
        <v>40</v>
      </c>
      <c r="D121" s="39">
        <v>33</v>
      </c>
      <c r="E121" s="39">
        <v>26</v>
      </c>
      <c r="F121" s="39">
        <v>17</v>
      </c>
      <c r="G121" s="39">
        <v>12</v>
      </c>
      <c r="H121" s="39">
        <v>25</v>
      </c>
      <c r="I121" s="39">
        <v>46</v>
      </c>
      <c r="J121" s="39">
        <v>53</v>
      </c>
      <c r="K121" s="39">
        <v>60</v>
      </c>
      <c r="L121" s="39">
        <v>64</v>
      </c>
      <c r="M121" s="39">
        <v>67</v>
      </c>
      <c r="N121" s="39">
        <v>65</v>
      </c>
      <c r="O121" s="39">
        <v>54</v>
      </c>
      <c r="P121" s="39">
        <v>42</v>
      </c>
      <c r="Q121" s="39">
        <v>35</v>
      </c>
      <c r="R121" s="39">
        <v>37</v>
      </c>
      <c r="S121" s="39">
        <v>54</v>
      </c>
      <c r="T121" s="39">
        <v>69</v>
      </c>
      <c r="U121" s="39">
        <v>76</v>
      </c>
      <c r="V121" s="39">
        <v>80</v>
      </c>
      <c r="W121" s="39">
        <v>83</v>
      </c>
      <c r="X121" s="39">
        <v>84</v>
      </c>
      <c r="Y121" s="40">
        <v>82</v>
      </c>
      <c r="Z121" s="41">
        <f t="shared" si="9"/>
        <v>1256</v>
      </c>
      <c r="AA121" s="42">
        <f t="shared" si="10"/>
        <v>52.333333333333336</v>
      </c>
    </row>
    <row r="122" spans="1:27" ht="14.1" customHeight="1" x14ac:dyDescent="0.2">
      <c r="A122" s="37">
        <v>3</v>
      </c>
      <c r="B122" s="38">
        <v>68</v>
      </c>
      <c r="C122" s="39">
        <v>52</v>
      </c>
      <c r="D122" s="39">
        <v>45</v>
      </c>
      <c r="E122" s="39">
        <v>38</v>
      </c>
      <c r="F122" s="39">
        <v>31</v>
      </c>
      <c r="G122" s="39">
        <v>24</v>
      </c>
      <c r="H122" s="39">
        <v>22</v>
      </c>
      <c r="I122" s="39">
        <v>33</v>
      </c>
      <c r="J122" s="39">
        <v>47</v>
      </c>
      <c r="K122" s="39">
        <v>56</v>
      </c>
      <c r="L122" s="39">
        <v>61</v>
      </c>
      <c r="M122" s="39">
        <v>65</v>
      </c>
      <c r="N122" s="39">
        <v>67</v>
      </c>
      <c r="O122" s="39">
        <v>66</v>
      </c>
      <c r="P122" s="39">
        <v>58</v>
      </c>
      <c r="Q122" s="39">
        <v>48</v>
      </c>
      <c r="R122" s="39">
        <v>44</v>
      </c>
      <c r="S122" s="39">
        <v>48</v>
      </c>
      <c r="T122" s="39">
        <v>63</v>
      </c>
      <c r="U122" s="39">
        <v>73</v>
      </c>
      <c r="V122" s="39">
        <v>79</v>
      </c>
      <c r="W122" s="39">
        <v>83</v>
      </c>
      <c r="X122" s="39">
        <v>85</v>
      </c>
      <c r="Y122" s="40">
        <v>85</v>
      </c>
      <c r="Z122" s="41">
        <f t="shared" si="9"/>
        <v>1341</v>
      </c>
      <c r="AA122" s="42">
        <f t="shared" si="10"/>
        <v>55.875</v>
      </c>
    </row>
    <row r="123" spans="1:27" ht="14.1" customHeight="1" x14ac:dyDescent="0.2">
      <c r="A123" s="37">
        <v>4</v>
      </c>
      <c r="B123" s="38">
        <v>76</v>
      </c>
      <c r="C123" s="39">
        <v>59</v>
      </c>
      <c r="D123" s="39">
        <v>49</v>
      </c>
      <c r="E123" s="39">
        <v>43</v>
      </c>
      <c r="F123" s="39">
        <v>36</v>
      </c>
      <c r="G123" s="39">
        <v>30</v>
      </c>
      <c r="H123" s="39">
        <v>23</v>
      </c>
      <c r="I123" s="39">
        <v>21</v>
      </c>
      <c r="J123" s="39">
        <v>28</v>
      </c>
      <c r="K123" s="39">
        <v>43</v>
      </c>
      <c r="L123" s="39">
        <v>56</v>
      </c>
      <c r="M123" s="39">
        <v>63</v>
      </c>
      <c r="N123" s="39">
        <v>67</v>
      </c>
      <c r="O123" s="39">
        <v>71</v>
      </c>
      <c r="P123" s="39">
        <v>73</v>
      </c>
      <c r="Q123" s="39">
        <v>73</v>
      </c>
      <c r="R123" s="39">
        <v>71</v>
      </c>
      <c r="S123" s="39">
        <v>69</v>
      </c>
      <c r="T123" s="39">
        <v>71</v>
      </c>
      <c r="U123" s="39">
        <v>77</v>
      </c>
      <c r="V123" s="39">
        <v>82</v>
      </c>
      <c r="W123" s="39">
        <v>86</v>
      </c>
      <c r="X123" s="39">
        <v>87</v>
      </c>
      <c r="Y123" s="40">
        <v>87</v>
      </c>
      <c r="Z123" s="41">
        <f t="shared" si="9"/>
        <v>1441</v>
      </c>
      <c r="AA123" s="42">
        <f t="shared" si="10"/>
        <v>60.041666666666664</v>
      </c>
    </row>
    <row r="124" spans="1:27" ht="14.1" customHeight="1" x14ac:dyDescent="0.2">
      <c r="A124" s="37">
        <v>5</v>
      </c>
      <c r="B124" s="38">
        <v>80</v>
      </c>
      <c r="C124" s="39">
        <v>66</v>
      </c>
      <c r="D124" s="39">
        <v>55</v>
      </c>
      <c r="E124" s="39">
        <v>48</v>
      </c>
      <c r="F124" s="39">
        <v>41</v>
      </c>
      <c r="G124" s="39">
        <v>35</v>
      </c>
      <c r="H124" s="39">
        <v>28</v>
      </c>
      <c r="I124" s="39">
        <v>23</v>
      </c>
      <c r="J124" s="39">
        <v>18</v>
      </c>
      <c r="K124" s="39">
        <v>23</v>
      </c>
      <c r="L124" s="39">
        <v>36</v>
      </c>
      <c r="M124" s="39">
        <v>48</v>
      </c>
      <c r="N124" s="39">
        <v>56</v>
      </c>
      <c r="O124" s="39">
        <v>60</v>
      </c>
      <c r="P124" s="39">
        <v>64</v>
      </c>
      <c r="Q124" s="39">
        <v>67</v>
      </c>
      <c r="R124" s="39">
        <v>69</v>
      </c>
      <c r="S124" s="39">
        <v>70</v>
      </c>
      <c r="T124" s="39">
        <v>70</v>
      </c>
      <c r="U124" s="39">
        <v>70</v>
      </c>
      <c r="V124" s="39">
        <v>70</v>
      </c>
      <c r="W124" s="39">
        <v>73</v>
      </c>
      <c r="X124" s="39">
        <v>75</v>
      </c>
      <c r="Y124" s="40">
        <v>76</v>
      </c>
      <c r="Z124" s="41">
        <f t="shared" si="9"/>
        <v>1321</v>
      </c>
      <c r="AA124" s="42">
        <f t="shared" si="10"/>
        <v>55.041666666666664</v>
      </c>
    </row>
    <row r="125" spans="1:27" ht="14.1" customHeight="1" x14ac:dyDescent="0.2">
      <c r="A125" s="37">
        <v>6</v>
      </c>
      <c r="B125" s="38">
        <v>74</v>
      </c>
      <c r="C125" s="39">
        <v>64</v>
      </c>
      <c r="D125" s="39">
        <v>53</v>
      </c>
      <c r="E125" s="39">
        <v>46</v>
      </c>
      <c r="F125" s="39">
        <v>40</v>
      </c>
      <c r="G125" s="39">
        <v>33</v>
      </c>
      <c r="H125" s="39">
        <v>26</v>
      </c>
      <c r="I125" s="39">
        <v>20</v>
      </c>
      <c r="J125" s="39">
        <v>12</v>
      </c>
      <c r="K125" s="39">
        <v>7</v>
      </c>
      <c r="L125" s="39">
        <v>8</v>
      </c>
      <c r="M125" s="39">
        <v>18</v>
      </c>
      <c r="N125" s="39">
        <v>32</v>
      </c>
      <c r="O125" s="39">
        <v>43</v>
      </c>
      <c r="P125" s="39">
        <v>50</v>
      </c>
      <c r="Q125" s="39">
        <v>55</v>
      </c>
      <c r="R125" s="39">
        <v>59</v>
      </c>
      <c r="S125" s="39">
        <v>63</v>
      </c>
      <c r="T125" s="39">
        <v>65</v>
      </c>
      <c r="U125" s="39">
        <v>67</v>
      </c>
      <c r="V125" s="39">
        <v>66</v>
      </c>
      <c r="W125" s="39">
        <v>64</v>
      </c>
      <c r="X125" s="39">
        <v>62</v>
      </c>
      <c r="Y125" s="40">
        <v>61</v>
      </c>
      <c r="Z125" s="41">
        <f t="shared" si="9"/>
        <v>1088</v>
      </c>
      <c r="AA125" s="42">
        <f t="shared" si="10"/>
        <v>45.333333333333336</v>
      </c>
    </row>
    <row r="126" spans="1:27" ht="14.1" customHeight="1" x14ac:dyDescent="0.2">
      <c r="A126" s="37">
        <v>7</v>
      </c>
      <c r="B126" s="38">
        <v>60</v>
      </c>
      <c r="C126" s="39">
        <v>60</v>
      </c>
      <c r="D126" s="39">
        <v>55</v>
      </c>
      <c r="E126" s="39">
        <v>48</v>
      </c>
      <c r="F126" s="39">
        <v>40</v>
      </c>
      <c r="G126" s="39">
        <v>34</v>
      </c>
      <c r="H126" s="39">
        <v>28</v>
      </c>
      <c r="I126" s="39">
        <v>21</v>
      </c>
      <c r="J126" s="39">
        <v>12</v>
      </c>
      <c r="K126" s="39">
        <v>5</v>
      </c>
      <c r="L126" s="39">
        <v>-2</v>
      </c>
      <c r="M126" s="39">
        <v>-3</v>
      </c>
      <c r="N126" s="39">
        <v>7</v>
      </c>
      <c r="O126" s="39">
        <v>24</v>
      </c>
      <c r="P126" s="39">
        <v>36</v>
      </c>
      <c r="Q126" s="39">
        <v>43</v>
      </c>
      <c r="R126" s="39">
        <v>48</v>
      </c>
      <c r="S126" s="39">
        <v>53</v>
      </c>
      <c r="T126" s="39">
        <v>57</v>
      </c>
      <c r="U126" s="39">
        <v>60</v>
      </c>
      <c r="V126" s="39">
        <v>59</v>
      </c>
      <c r="W126" s="39">
        <v>55</v>
      </c>
      <c r="X126" s="39">
        <v>48</v>
      </c>
      <c r="Y126" s="40">
        <v>44</v>
      </c>
      <c r="Z126" s="41">
        <f t="shared" si="9"/>
        <v>892</v>
      </c>
      <c r="AA126" s="42">
        <f t="shared" si="10"/>
        <v>37.166666666666664</v>
      </c>
    </row>
    <row r="127" spans="1:27" ht="14.1" customHeight="1" x14ac:dyDescent="0.2">
      <c r="A127" s="37">
        <v>8</v>
      </c>
      <c r="B127" s="38">
        <v>45</v>
      </c>
      <c r="C127" s="39">
        <v>49</v>
      </c>
      <c r="D127" s="39">
        <v>54</v>
      </c>
      <c r="E127" s="39">
        <v>54</v>
      </c>
      <c r="F127" s="39">
        <v>50</v>
      </c>
      <c r="G127" s="39">
        <v>41</v>
      </c>
      <c r="H127" s="39">
        <v>31</v>
      </c>
      <c r="I127" s="39">
        <v>23</v>
      </c>
      <c r="J127" s="39">
        <v>15</v>
      </c>
      <c r="K127" s="39">
        <v>7</v>
      </c>
      <c r="L127" s="39">
        <v>-1</v>
      </c>
      <c r="M127" s="39">
        <v>-8</v>
      </c>
      <c r="N127" s="39">
        <v>-8</v>
      </c>
      <c r="O127" s="39">
        <v>6</v>
      </c>
      <c r="P127" s="39">
        <v>23</v>
      </c>
      <c r="Q127" s="39">
        <v>33</v>
      </c>
      <c r="R127" s="39">
        <v>39</v>
      </c>
      <c r="S127" s="39">
        <v>45</v>
      </c>
      <c r="T127" s="39">
        <v>50</v>
      </c>
      <c r="U127" s="39">
        <v>53</v>
      </c>
      <c r="V127" s="39">
        <v>52</v>
      </c>
      <c r="W127" s="39">
        <v>45</v>
      </c>
      <c r="X127" s="39">
        <v>34</v>
      </c>
      <c r="Y127" s="40">
        <v>28</v>
      </c>
      <c r="Z127" s="41">
        <f t="shared" si="9"/>
        <v>760</v>
      </c>
      <c r="AA127" s="42">
        <f t="shared" si="10"/>
        <v>31.666666666666668</v>
      </c>
    </row>
    <row r="128" spans="1:27" ht="14.1" customHeight="1" x14ac:dyDescent="0.2">
      <c r="A128" s="37">
        <v>9</v>
      </c>
      <c r="B128" s="38">
        <v>27</v>
      </c>
      <c r="C128" s="39">
        <v>31</v>
      </c>
      <c r="D128" s="39">
        <v>41</v>
      </c>
      <c r="E128" s="39">
        <v>48</v>
      </c>
      <c r="F128" s="39">
        <v>50</v>
      </c>
      <c r="G128" s="39">
        <v>45</v>
      </c>
      <c r="H128" s="39">
        <v>33</v>
      </c>
      <c r="I128" s="39">
        <v>22</v>
      </c>
      <c r="J128" s="39">
        <v>13</v>
      </c>
      <c r="K128" s="39">
        <v>5</v>
      </c>
      <c r="L128" s="39">
        <v>-4</v>
      </c>
      <c r="M128" s="39">
        <v>-13</v>
      </c>
      <c r="N128" s="39">
        <v>-19</v>
      </c>
      <c r="O128" s="39">
        <v>-15</v>
      </c>
      <c r="P128" s="39">
        <v>6</v>
      </c>
      <c r="Q128" s="39">
        <v>21</v>
      </c>
      <c r="R128" s="39">
        <v>30</v>
      </c>
      <c r="S128" s="39">
        <v>36</v>
      </c>
      <c r="T128" s="39">
        <v>42</v>
      </c>
      <c r="U128" s="39">
        <v>45</v>
      </c>
      <c r="V128" s="39">
        <v>45</v>
      </c>
      <c r="W128" s="39">
        <v>36</v>
      </c>
      <c r="X128" s="39">
        <v>23</v>
      </c>
      <c r="Y128" s="40">
        <v>16</v>
      </c>
      <c r="Z128" s="41">
        <f t="shared" si="9"/>
        <v>564</v>
      </c>
      <c r="AA128" s="42">
        <f t="shared" si="10"/>
        <v>23.5</v>
      </c>
    </row>
    <row r="129" spans="1:27" ht="14.1" customHeight="1" x14ac:dyDescent="0.2">
      <c r="A129" s="37">
        <v>10</v>
      </c>
      <c r="B129" s="38">
        <v>11</v>
      </c>
      <c r="C129" s="39">
        <v>9</v>
      </c>
      <c r="D129" s="39">
        <v>14</v>
      </c>
      <c r="E129" s="39">
        <v>30</v>
      </c>
      <c r="F129" s="39">
        <v>40</v>
      </c>
      <c r="G129" s="39">
        <v>44</v>
      </c>
      <c r="H129" s="39">
        <v>46</v>
      </c>
      <c r="I129" s="39">
        <v>40</v>
      </c>
      <c r="J129" s="39">
        <v>23</v>
      </c>
      <c r="K129" s="39">
        <v>12</v>
      </c>
      <c r="L129" s="39">
        <v>3</v>
      </c>
      <c r="M129" s="39">
        <v>-5</v>
      </c>
      <c r="N129" s="39">
        <v>-15</v>
      </c>
      <c r="O129" s="39">
        <v>-20</v>
      </c>
      <c r="P129" s="39">
        <v>-10</v>
      </c>
      <c r="Q129" s="39">
        <v>12</v>
      </c>
      <c r="R129" s="39">
        <v>25</v>
      </c>
      <c r="S129" s="39">
        <v>33</v>
      </c>
      <c r="T129" s="39">
        <v>38</v>
      </c>
      <c r="U129" s="39">
        <v>42</v>
      </c>
      <c r="V129" s="39">
        <v>42</v>
      </c>
      <c r="W129" s="39">
        <v>34</v>
      </c>
      <c r="X129" s="39">
        <v>19</v>
      </c>
      <c r="Y129" s="40">
        <v>9</v>
      </c>
      <c r="Z129" s="41">
        <f t="shared" si="9"/>
        <v>476</v>
      </c>
      <c r="AA129" s="42">
        <f t="shared" si="10"/>
        <v>19.833333333333332</v>
      </c>
    </row>
    <row r="130" spans="1:27" ht="14.1" customHeight="1" x14ac:dyDescent="0.2">
      <c r="A130" s="37">
        <v>11</v>
      </c>
      <c r="B130" s="38">
        <v>2</v>
      </c>
      <c r="C130" s="39">
        <v>-4</v>
      </c>
      <c r="D130" s="39">
        <v>-4</v>
      </c>
      <c r="E130" s="39">
        <v>11</v>
      </c>
      <c r="F130" s="39">
        <v>29</v>
      </c>
      <c r="G130" s="39">
        <v>37</v>
      </c>
      <c r="H130" s="39">
        <v>42</v>
      </c>
      <c r="I130" s="39">
        <v>44</v>
      </c>
      <c r="J130" s="39">
        <v>37</v>
      </c>
      <c r="K130" s="39">
        <v>19</v>
      </c>
      <c r="L130" s="39">
        <v>7</v>
      </c>
      <c r="M130" s="39">
        <v>-1</v>
      </c>
      <c r="N130" s="39">
        <v>-10</v>
      </c>
      <c r="O130" s="39">
        <v>-18</v>
      </c>
      <c r="P130" s="39">
        <v>-16</v>
      </c>
      <c r="Q130" s="39">
        <v>7</v>
      </c>
      <c r="R130" s="39">
        <v>23</v>
      </c>
      <c r="S130" s="39">
        <v>32</v>
      </c>
      <c r="T130" s="39">
        <v>38</v>
      </c>
      <c r="U130" s="39">
        <v>42</v>
      </c>
      <c r="V130" s="39">
        <v>44</v>
      </c>
      <c r="W130" s="39">
        <v>38</v>
      </c>
      <c r="X130" s="39">
        <v>21</v>
      </c>
      <c r="Y130" s="40">
        <v>10</v>
      </c>
      <c r="Z130" s="41">
        <f t="shared" si="9"/>
        <v>430</v>
      </c>
      <c r="AA130" s="42">
        <f t="shared" si="10"/>
        <v>17.916666666666668</v>
      </c>
    </row>
    <row r="131" spans="1:27" ht="14.1" customHeight="1" x14ac:dyDescent="0.2">
      <c r="A131" s="37">
        <v>12</v>
      </c>
      <c r="B131" s="38">
        <v>2</v>
      </c>
      <c r="C131" s="39">
        <v>-6</v>
      </c>
      <c r="D131" s="39">
        <v>-12</v>
      </c>
      <c r="E131" s="39">
        <v>-2</v>
      </c>
      <c r="F131" s="39">
        <v>20</v>
      </c>
      <c r="G131" s="39">
        <v>31</v>
      </c>
      <c r="H131" s="39">
        <v>38</v>
      </c>
      <c r="I131" s="39">
        <v>42</v>
      </c>
      <c r="J131" s="39">
        <v>44</v>
      </c>
      <c r="K131" s="39">
        <v>35</v>
      </c>
      <c r="L131" s="39">
        <v>18</v>
      </c>
      <c r="M131" s="39">
        <v>7</v>
      </c>
      <c r="N131" s="39">
        <v>-1</v>
      </c>
      <c r="O131" s="39">
        <v>-10</v>
      </c>
      <c r="P131" s="39">
        <v>-16</v>
      </c>
      <c r="Q131" s="39">
        <v>-5</v>
      </c>
      <c r="R131" s="39">
        <v>17</v>
      </c>
      <c r="S131" s="39">
        <v>30</v>
      </c>
      <c r="T131" s="39">
        <v>37</v>
      </c>
      <c r="U131" s="39">
        <v>42</v>
      </c>
      <c r="V131" s="39">
        <v>45</v>
      </c>
      <c r="W131" s="39">
        <v>41</v>
      </c>
      <c r="X131" s="39">
        <v>25</v>
      </c>
      <c r="Y131" s="40">
        <v>12</v>
      </c>
      <c r="Z131" s="41">
        <f t="shared" si="9"/>
        <v>434</v>
      </c>
      <c r="AA131" s="42">
        <f t="shared" si="10"/>
        <v>18.083333333333332</v>
      </c>
    </row>
    <row r="132" spans="1:27" ht="14.1" customHeight="1" x14ac:dyDescent="0.2">
      <c r="A132" s="37">
        <v>13</v>
      </c>
      <c r="B132" s="38">
        <v>4</v>
      </c>
      <c r="C132" s="39">
        <v>-5</v>
      </c>
      <c r="D132" s="39">
        <v>-13</v>
      </c>
      <c r="E132" s="39">
        <v>-16</v>
      </c>
      <c r="F132" s="39">
        <v>6</v>
      </c>
      <c r="G132" s="39">
        <v>24</v>
      </c>
      <c r="H132" s="39">
        <v>33</v>
      </c>
      <c r="I132" s="39">
        <v>40</v>
      </c>
      <c r="J132" s="39">
        <v>44</v>
      </c>
      <c r="K132" s="39">
        <v>44</v>
      </c>
      <c r="L132" s="39">
        <v>31</v>
      </c>
      <c r="M132" s="39">
        <v>16</v>
      </c>
      <c r="N132" s="39">
        <v>6</v>
      </c>
      <c r="O132" s="39">
        <v>-2</v>
      </c>
      <c r="P132" s="39">
        <v>-10</v>
      </c>
      <c r="Q132" s="39">
        <v>-6</v>
      </c>
      <c r="R132" s="39">
        <v>18</v>
      </c>
      <c r="S132" s="39">
        <v>33</v>
      </c>
      <c r="T132" s="39">
        <v>39</v>
      </c>
      <c r="U132" s="39">
        <v>44</v>
      </c>
      <c r="V132" s="39">
        <v>48</v>
      </c>
      <c r="W132" s="39">
        <v>48</v>
      </c>
      <c r="X132" s="39">
        <v>34</v>
      </c>
      <c r="Y132" s="40">
        <v>20</v>
      </c>
      <c r="Z132" s="41">
        <f t="shared" si="9"/>
        <v>480</v>
      </c>
      <c r="AA132" s="42">
        <f t="shared" si="10"/>
        <v>20</v>
      </c>
    </row>
    <row r="133" spans="1:27" ht="14.1" customHeight="1" x14ac:dyDescent="0.2">
      <c r="A133" s="37">
        <v>14</v>
      </c>
      <c r="B133" s="38">
        <v>11</v>
      </c>
      <c r="C133" s="39">
        <v>2</v>
      </c>
      <c r="D133" s="39">
        <v>-8</v>
      </c>
      <c r="E133" s="39">
        <v>-15</v>
      </c>
      <c r="F133" s="39">
        <v>-2</v>
      </c>
      <c r="G133" s="39">
        <v>21</v>
      </c>
      <c r="H133" s="39">
        <v>33</v>
      </c>
      <c r="I133" s="39">
        <v>41</v>
      </c>
      <c r="J133" s="39">
        <v>46</v>
      </c>
      <c r="K133" s="39">
        <v>49</v>
      </c>
      <c r="L133" s="39">
        <v>44</v>
      </c>
      <c r="M133" s="39">
        <v>29</v>
      </c>
      <c r="N133" s="39">
        <v>16</v>
      </c>
      <c r="O133" s="39">
        <v>8</v>
      </c>
      <c r="P133" s="39">
        <v>1</v>
      </c>
      <c r="Q133" s="39">
        <v>0</v>
      </c>
      <c r="R133" s="39">
        <v>20</v>
      </c>
      <c r="S133" s="39">
        <v>39</v>
      </c>
      <c r="T133" s="39">
        <v>46</v>
      </c>
      <c r="U133" s="39">
        <v>51</v>
      </c>
      <c r="V133" s="39">
        <v>55</v>
      </c>
      <c r="W133" s="39">
        <v>56</v>
      </c>
      <c r="X133" s="39">
        <v>48</v>
      </c>
      <c r="Y133" s="40">
        <v>31</v>
      </c>
      <c r="Z133" s="41">
        <f t="shared" si="9"/>
        <v>622</v>
      </c>
      <c r="AA133" s="42">
        <f t="shared" si="10"/>
        <v>25.916666666666668</v>
      </c>
    </row>
    <row r="134" spans="1:27" ht="14.1" customHeight="1" x14ac:dyDescent="0.2">
      <c r="A134" s="37">
        <v>15</v>
      </c>
      <c r="B134" s="38">
        <v>20</v>
      </c>
      <c r="C134" s="39">
        <v>12</v>
      </c>
      <c r="D134" s="39">
        <v>4</v>
      </c>
      <c r="E134" s="39">
        <v>-5</v>
      </c>
      <c r="F134" s="39">
        <v>-5</v>
      </c>
      <c r="G134" s="39">
        <v>18</v>
      </c>
      <c r="H134" s="39">
        <v>35</v>
      </c>
      <c r="I134" s="39">
        <v>45</v>
      </c>
      <c r="J134" s="39">
        <v>51</v>
      </c>
      <c r="K134" s="39">
        <v>55</v>
      </c>
      <c r="L134" s="39">
        <v>56</v>
      </c>
      <c r="M134" s="39">
        <v>49</v>
      </c>
      <c r="N134" s="39">
        <v>33</v>
      </c>
      <c r="O134" s="39">
        <v>23</v>
      </c>
      <c r="P134" s="39">
        <v>17</v>
      </c>
      <c r="Q134" s="39">
        <v>15</v>
      </c>
      <c r="R134" s="39">
        <v>28</v>
      </c>
      <c r="S134" s="39">
        <v>47</v>
      </c>
      <c r="T134" s="39">
        <v>57</v>
      </c>
      <c r="U134" s="39">
        <v>62</v>
      </c>
      <c r="V134" s="39">
        <v>67</v>
      </c>
      <c r="W134" s="39">
        <v>69</v>
      </c>
      <c r="X134" s="39">
        <v>64</v>
      </c>
      <c r="Y134" s="40">
        <v>49</v>
      </c>
      <c r="Z134" s="41">
        <f t="shared" si="9"/>
        <v>866</v>
      </c>
      <c r="AA134" s="42">
        <f t="shared" si="10"/>
        <v>36.083333333333336</v>
      </c>
    </row>
    <row r="135" spans="1:27" ht="14.1" customHeight="1" x14ac:dyDescent="0.2">
      <c r="A135" s="37">
        <v>16</v>
      </c>
      <c r="B135" s="38">
        <v>36</v>
      </c>
      <c r="C135" s="39">
        <v>29</v>
      </c>
      <c r="D135" s="39">
        <v>21</v>
      </c>
      <c r="E135" s="39">
        <v>13</v>
      </c>
      <c r="F135" s="39">
        <v>5</v>
      </c>
      <c r="G135" s="39">
        <v>13</v>
      </c>
      <c r="H135" s="39">
        <v>35</v>
      </c>
      <c r="I135" s="39">
        <v>48</v>
      </c>
      <c r="J135" s="39">
        <v>54</v>
      </c>
      <c r="K135" s="39">
        <v>60</v>
      </c>
      <c r="L135" s="39">
        <v>63</v>
      </c>
      <c r="M135" s="39">
        <v>64</v>
      </c>
      <c r="N135" s="39">
        <v>57</v>
      </c>
      <c r="O135" s="39">
        <v>42</v>
      </c>
      <c r="P135" s="39">
        <v>33</v>
      </c>
      <c r="Q135" s="39">
        <v>28</v>
      </c>
      <c r="R135" s="39">
        <v>32</v>
      </c>
      <c r="S135" s="39">
        <v>49</v>
      </c>
      <c r="T135" s="39">
        <v>62</v>
      </c>
      <c r="U135" s="39">
        <v>68</v>
      </c>
      <c r="V135" s="39">
        <v>72</v>
      </c>
      <c r="W135" s="39">
        <v>73</v>
      </c>
      <c r="X135" s="39">
        <v>68</v>
      </c>
      <c r="Y135" s="40">
        <v>52</v>
      </c>
      <c r="Z135" s="41">
        <f t="shared" si="9"/>
        <v>1077</v>
      </c>
      <c r="AA135" s="42">
        <f t="shared" si="10"/>
        <v>44.875</v>
      </c>
    </row>
    <row r="136" spans="1:27" ht="14.1" customHeight="1" x14ac:dyDescent="0.2">
      <c r="A136" s="37">
        <v>17</v>
      </c>
      <c r="B136" s="38">
        <v>39</v>
      </c>
      <c r="C136" s="39">
        <v>31</v>
      </c>
      <c r="D136" s="39">
        <v>23</v>
      </c>
      <c r="E136" s="39">
        <v>15</v>
      </c>
      <c r="F136" s="39">
        <v>6</v>
      </c>
      <c r="G136" s="39">
        <v>3</v>
      </c>
      <c r="H136" s="39">
        <v>20</v>
      </c>
      <c r="I136" s="39">
        <v>38</v>
      </c>
      <c r="J136" s="39">
        <v>44</v>
      </c>
      <c r="K136" s="39">
        <v>49</v>
      </c>
      <c r="L136" s="39">
        <v>53</v>
      </c>
      <c r="M136" s="39">
        <v>54</v>
      </c>
      <c r="N136" s="39">
        <v>48</v>
      </c>
      <c r="O136" s="39">
        <v>35</v>
      </c>
      <c r="P136" s="39">
        <v>27</v>
      </c>
      <c r="Q136" s="39">
        <v>24</v>
      </c>
      <c r="R136" s="39">
        <v>27</v>
      </c>
      <c r="S136" s="39">
        <v>41</v>
      </c>
      <c r="T136" s="39">
        <v>54</v>
      </c>
      <c r="U136" s="39">
        <v>59</v>
      </c>
      <c r="V136" s="39">
        <v>63</v>
      </c>
      <c r="W136" s="39">
        <v>65</v>
      </c>
      <c r="X136" s="39">
        <v>63</v>
      </c>
      <c r="Y136" s="40">
        <v>50</v>
      </c>
      <c r="Z136" s="41">
        <f t="shared" si="9"/>
        <v>931</v>
      </c>
      <c r="AA136" s="42">
        <f t="shared" si="10"/>
        <v>38.791666666666664</v>
      </c>
    </row>
    <row r="137" spans="1:27" ht="14.1" customHeight="1" x14ac:dyDescent="0.2">
      <c r="A137" s="37">
        <v>18</v>
      </c>
      <c r="B137" s="38">
        <v>35</v>
      </c>
      <c r="C137" s="39">
        <v>27</v>
      </c>
      <c r="D137" s="39">
        <v>19</v>
      </c>
      <c r="E137" s="39">
        <v>10</v>
      </c>
      <c r="F137" s="39">
        <v>0</v>
      </c>
      <c r="G137" s="39">
        <v>-9</v>
      </c>
      <c r="H137" s="39">
        <v>-6</v>
      </c>
      <c r="I137" s="39">
        <v>12</v>
      </c>
      <c r="J137" s="39">
        <v>26</v>
      </c>
      <c r="K137" s="39">
        <v>35</v>
      </c>
      <c r="L137" s="39">
        <v>41</v>
      </c>
      <c r="M137" s="39">
        <v>44</v>
      </c>
      <c r="N137" s="39">
        <v>45</v>
      </c>
      <c r="O137" s="39">
        <v>39</v>
      </c>
      <c r="P137" s="39">
        <v>29</v>
      </c>
      <c r="Q137" s="39">
        <v>23</v>
      </c>
      <c r="R137" s="39">
        <v>22</v>
      </c>
      <c r="S137" s="39">
        <v>28</v>
      </c>
      <c r="T137" s="39">
        <v>39</v>
      </c>
      <c r="U137" s="39">
        <v>47</v>
      </c>
      <c r="V137" s="39">
        <v>54</v>
      </c>
      <c r="W137" s="39">
        <v>56</v>
      </c>
      <c r="X137" s="39">
        <v>55</v>
      </c>
      <c r="Y137" s="40">
        <v>45</v>
      </c>
      <c r="Z137" s="41">
        <f t="shared" si="9"/>
        <v>716</v>
      </c>
      <c r="AA137" s="42">
        <f t="shared" si="10"/>
        <v>29.833333333333332</v>
      </c>
    </row>
    <row r="138" spans="1:27" ht="14.1" customHeight="1" x14ac:dyDescent="0.2">
      <c r="A138" s="37">
        <v>19</v>
      </c>
      <c r="B138" s="38">
        <v>30</v>
      </c>
      <c r="C138" s="39">
        <v>20</v>
      </c>
      <c r="D138" s="39">
        <v>12</v>
      </c>
      <c r="E138" s="39">
        <v>4</v>
      </c>
      <c r="F138" s="39">
        <v>-6</v>
      </c>
      <c r="G138" s="39">
        <v>-16</v>
      </c>
      <c r="H138" s="39">
        <v>-22</v>
      </c>
      <c r="I138" s="39">
        <v>-11</v>
      </c>
      <c r="J138" s="39">
        <v>8</v>
      </c>
      <c r="K138" s="39">
        <v>20</v>
      </c>
      <c r="L138" s="39">
        <v>28</v>
      </c>
      <c r="M138" s="39">
        <v>33</v>
      </c>
      <c r="N138" s="39">
        <v>37</v>
      </c>
      <c r="O138" s="39">
        <v>38</v>
      </c>
      <c r="P138" s="39">
        <v>35</v>
      </c>
      <c r="Q138" s="39">
        <v>32</v>
      </c>
      <c r="R138" s="39">
        <v>32</v>
      </c>
      <c r="S138" s="39">
        <v>36</v>
      </c>
      <c r="T138" s="39">
        <v>43</v>
      </c>
      <c r="U138" s="39">
        <v>49</v>
      </c>
      <c r="V138" s="39">
        <v>53</v>
      </c>
      <c r="W138" s="39">
        <v>56</v>
      </c>
      <c r="X138" s="39">
        <v>57</v>
      </c>
      <c r="Y138" s="40">
        <v>52</v>
      </c>
      <c r="Z138" s="41">
        <f t="shared" si="9"/>
        <v>620</v>
      </c>
      <c r="AA138" s="42">
        <f t="shared" si="10"/>
        <v>25.833333333333332</v>
      </c>
    </row>
    <row r="139" spans="1:27" ht="14.1" customHeight="1" x14ac:dyDescent="0.2">
      <c r="A139" s="37">
        <v>20</v>
      </c>
      <c r="B139" s="38">
        <v>40</v>
      </c>
      <c r="C139" s="39">
        <v>28</v>
      </c>
      <c r="D139" s="39">
        <v>20</v>
      </c>
      <c r="E139" s="39">
        <v>11</v>
      </c>
      <c r="F139" s="39">
        <v>2</v>
      </c>
      <c r="G139" s="39">
        <v>-8</v>
      </c>
      <c r="H139" s="39">
        <v>-17</v>
      </c>
      <c r="I139" s="39">
        <v>-20</v>
      </c>
      <c r="J139" s="39">
        <v>-8</v>
      </c>
      <c r="K139" s="39">
        <v>9</v>
      </c>
      <c r="L139" s="39">
        <v>21</v>
      </c>
      <c r="M139" s="39">
        <v>28</v>
      </c>
      <c r="N139" s="39">
        <v>33</v>
      </c>
      <c r="O139" s="39">
        <v>38</v>
      </c>
      <c r="P139" s="39">
        <v>40</v>
      </c>
      <c r="Q139" s="39">
        <v>41</v>
      </c>
      <c r="R139" s="39">
        <v>41</v>
      </c>
      <c r="S139" s="39">
        <v>44</v>
      </c>
      <c r="T139" s="39">
        <v>48</v>
      </c>
      <c r="U139" s="39">
        <v>52</v>
      </c>
      <c r="V139" s="39">
        <v>56</v>
      </c>
      <c r="W139" s="39">
        <v>58</v>
      </c>
      <c r="X139" s="39">
        <v>58</v>
      </c>
      <c r="Y139" s="40">
        <v>53</v>
      </c>
      <c r="Z139" s="41">
        <f t="shared" si="9"/>
        <v>668</v>
      </c>
      <c r="AA139" s="42">
        <f t="shared" si="10"/>
        <v>27.833333333333332</v>
      </c>
    </row>
    <row r="140" spans="1:27" ht="14.1" customHeight="1" x14ac:dyDescent="0.2">
      <c r="A140" s="37">
        <v>21</v>
      </c>
      <c r="B140" s="38">
        <v>44</v>
      </c>
      <c r="C140" s="39">
        <v>34</v>
      </c>
      <c r="D140" s="39">
        <v>26</v>
      </c>
      <c r="E140" s="39">
        <v>18</v>
      </c>
      <c r="F140" s="39">
        <v>9</v>
      </c>
      <c r="G140" s="39">
        <v>0</v>
      </c>
      <c r="H140" s="39">
        <v>-10</v>
      </c>
      <c r="I140" s="39">
        <v>-18</v>
      </c>
      <c r="J140" s="39">
        <v>-23</v>
      </c>
      <c r="K140" s="39">
        <v>-13</v>
      </c>
      <c r="L140" s="39">
        <v>5</v>
      </c>
      <c r="M140" s="39">
        <v>17</v>
      </c>
      <c r="N140" s="39">
        <v>25</v>
      </c>
      <c r="O140" s="39">
        <v>31</v>
      </c>
      <c r="P140" s="39">
        <v>36</v>
      </c>
      <c r="Q140" s="39">
        <v>41</v>
      </c>
      <c r="R140" s="39">
        <v>44</v>
      </c>
      <c r="S140" s="39">
        <v>48</v>
      </c>
      <c r="T140" s="39">
        <v>50</v>
      </c>
      <c r="U140" s="39">
        <v>52</v>
      </c>
      <c r="V140" s="39">
        <v>54</v>
      </c>
      <c r="W140" s="39">
        <v>55</v>
      </c>
      <c r="X140" s="39">
        <v>55</v>
      </c>
      <c r="Y140" s="40">
        <v>53</v>
      </c>
      <c r="Z140" s="41">
        <f t="shared" si="9"/>
        <v>633</v>
      </c>
      <c r="AA140" s="42">
        <f t="shared" si="10"/>
        <v>26.375</v>
      </c>
    </row>
    <row r="141" spans="1:27" ht="14.1" customHeight="1" x14ac:dyDescent="0.2">
      <c r="A141" s="37">
        <v>22</v>
      </c>
      <c r="B141" s="38">
        <v>47</v>
      </c>
      <c r="C141" s="39">
        <v>39</v>
      </c>
      <c r="D141" s="39">
        <v>32</v>
      </c>
      <c r="E141" s="39">
        <v>25</v>
      </c>
      <c r="F141" s="39">
        <v>17</v>
      </c>
      <c r="G141" s="39">
        <v>9</v>
      </c>
      <c r="H141" s="39">
        <v>-1</v>
      </c>
      <c r="I141" s="39">
        <v>-10</v>
      </c>
      <c r="J141" s="39">
        <v>-19</v>
      </c>
      <c r="K141" s="39">
        <v>-23</v>
      </c>
      <c r="L141" s="39">
        <v>-17</v>
      </c>
      <c r="M141" s="39">
        <v>2</v>
      </c>
      <c r="N141" s="39">
        <v>16</v>
      </c>
      <c r="O141" s="39">
        <v>24</v>
      </c>
      <c r="P141" s="39">
        <v>30</v>
      </c>
      <c r="Q141" s="39">
        <v>37</v>
      </c>
      <c r="R141" s="39">
        <v>42</v>
      </c>
      <c r="S141" s="39">
        <v>46</v>
      </c>
      <c r="T141" s="39">
        <v>49</v>
      </c>
      <c r="U141" s="39">
        <v>50</v>
      </c>
      <c r="V141" s="39">
        <v>47</v>
      </c>
      <c r="W141" s="39">
        <v>40</v>
      </c>
      <c r="X141" s="39">
        <v>35</v>
      </c>
      <c r="Y141" s="40">
        <v>32</v>
      </c>
      <c r="Z141" s="41">
        <f t="shared" si="9"/>
        <v>549</v>
      </c>
      <c r="AA141" s="42">
        <f t="shared" si="10"/>
        <v>22.875</v>
      </c>
    </row>
    <row r="142" spans="1:27" ht="14.1" customHeight="1" x14ac:dyDescent="0.2">
      <c r="A142" s="37">
        <v>23</v>
      </c>
      <c r="B142" s="38">
        <v>30</v>
      </c>
      <c r="C142" s="39">
        <v>28</v>
      </c>
      <c r="D142" s="39">
        <v>25</v>
      </c>
      <c r="E142" s="39">
        <v>20</v>
      </c>
      <c r="F142" s="39">
        <v>12</v>
      </c>
      <c r="G142" s="39">
        <v>3</v>
      </c>
      <c r="H142" s="39">
        <v>-7</v>
      </c>
      <c r="I142" s="39">
        <v>-17</v>
      </c>
      <c r="J142" s="39">
        <v>-28</v>
      </c>
      <c r="K142" s="39">
        <v>-39</v>
      </c>
      <c r="L142" s="39">
        <v>-46</v>
      </c>
      <c r="M142" s="39">
        <v>-38</v>
      </c>
      <c r="N142" s="39">
        <v>-14</v>
      </c>
      <c r="O142" s="39">
        <v>1</v>
      </c>
      <c r="P142" s="39">
        <v>10</v>
      </c>
      <c r="Q142" s="39">
        <v>19</v>
      </c>
      <c r="R142" s="39">
        <v>28</v>
      </c>
      <c r="S142" s="39">
        <v>33</v>
      </c>
      <c r="T142" s="39">
        <v>38</v>
      </c>
      <c r="U142" s="39">
        <v>38</v>
      </c>
      <c r="V142" s="39">
        <v>33</v>
      </c>
      <c r="W142" s="39">
        <v>23</v>
      </c>
      <c r="X142" s="39">
        <v>16</v>
      </c>
      <c r="Y142" s="40">
        <v>12</v>
      </c>
      <c r="Z142" s="41">
        <f t="shared" si="9"/>
        <v>180</v>
      </c>
      <c r="AA142" s="42">
        <f t="shared" si="10"/>
        <v>7.5</v>
      </c>
    </row>
    <row r="143" spans="1:27" ht="14.1" customHeight="1" x14ac:dyDescent="0.2">
      <c r="A143" s="43">
        <v>24</v>
      </c>
      <c r="B143" s="38">
        <v>12</v>
      </c>
      <c r="C143" s="39">
        <v>16</v>
      </c>
      <c r="D143" s="39">
        <v>21</v>
      </c>
      <c r="E143" s="39">
        <v>23</v>
      </c>
      <c r="F143" s="39">
        <v>20</v>
      </c>
      <c r="G143" s="39">
        <v>10</v>
      </c>
      <c r="H143" s="39">
        <v>-1</v>
      </c>
      <c r="I143" s="39">
        <v>-12</v>
      </c>
      <c r="J143" s="39">
        <v>-23</v>
      </c>
      <c r="K143" s="39">
        <v>-35</v>
      </c>
      <c r="L143" s="39">
        <v>-46</v>
      </c>
      <c r="M143" s="39">
        <v>-53</v>
      </c>
      <c r="N143" s="39">
        <v>-40</v>
      </c>
      <c r="O143" s="39">
        <v>-14</v>
      </c>
      <c r="P143" s="39">
        <v>0</v>
      </c>
      <c r="Q143" s="39">
        <v>10</v>
      </c>
      <c r="R143" s="39">
        <v>18</v>
      </c>
      <c r="S143" s="39">
        <v>26</v>
      </c>
      <c r="T143" s="39">
        <v>31</v>
      </c>
      <c r="U143" s="39">
        <v>33</v>
      </c>
      <c r="V143" s="39">
        <v>26</v>
      </c>
      <c r="W143" s="39">
        <v>12</v>
      </c>
      <c r="X143" s="39">
        <v>3</v>
      </c>
      <c r="Y143" s="40">
        <v>-4</v>
      </c>
      <c r="Z143" s="41">
        <f t="shared" si="9"/>
        <v>33</v>
      </c>
      <c r="AA143" s="42">
        <f t="shared" si="10"/>
        <v>1.375</v>
      </c>
    </row>
    <row r="144" spans="1:27" ht="14.1" customHeight="1" x14ac:dyDescent="0.2">
      <c r="A144" s="37">
        <v>25</v>
      </c>
      <c r="B144" s="38">
        <v>-7</v>
      </c>
      <c r="C144" s="39">
        <v>-3</v>
      </c>
      <c r="D144" s="39">
        <v>11</v>
      </c>
      <c r="E144" s="39">
        <v>23</v>
      </c>
      <c r="F144" s="39">
        <v>30</v>
      </c>
      <c r="G144" s="39">
        <v>32</v>
      </c>
      <c r="H144" s="39">
        <v>25</v>
      </c>
      <c r="I144" s="39">
        <v>9</v>
      </c>
      <c r="J144" s="39">
        <v>-3</v>
      </c>
      <c r="K144" s="39">
        <v>-13</v>
      </c>
      <c r="L144" s="39">
        <v>-23</v>
      </c>
      <c r="M144" s="39">
        <v>-33</v>
      </c>
      <c r="N144" s="39">
        <v>-41</v>
      </c>
      <c r="O144" s="39">
        <v>-29</v>
      </c>
      <c r="P144" s="39">
        <v>-2</v>
      </c>
      <c r="Q144" s="39">
        <v>11</v>
      </c>
      <c r="R144" s="39">
        <v>20</v>
      </c>
      <c r="S144" s="39">
        <v>29</v>
      </c>
      <c r="T144" s="39">
        <v>33</v>
      </c>
      <c r="U144" s="39">
        <v>36</v>
      </c>
      <c r="V144" s="39">
        <v>29</v>
      </c>
      <c r="W144" s="39">
        <v>12</v>
      </c>
      <c r="X144" s="39">
        <v>0</v>
      </c>
      <c r="Y144" s="40">
        <v>-8</v>
      </c>
      <c r="Z144" s="41">
        <f t="shared" si="9"/>
        <v>138</v>
      </c>
      <c r="AA144" s="42">
        <f t="shared" si="10"/>
        <v>5.75</v>
      </c>
    </row>
    <row r="145" spans="1:27" ht="14.1" customHeight="1" x14ac:dyDescent="0.2">
      <c r="A145" s="37">
        <v>26</v>
      </c>
      <c r="B145" s="38">
        <v>-16</v>
      </c>
      <c r="C145" s="39">
        <v>-20</v>
      </c>
      <c r="D145" s="39">
        <v>-1</v>
      </c>
      <c r="E145" s="39">
        <v>18</v>
      </c>
      <c r="F145" s="39">
        <v>27</v>
      </c>
      <c r="G145" s="39">
        <v>43</v>
      </c>
      <c r="H145" s="39">
        <v>48</v>
      </c>
      <c r="I145" s="39">
        <v>47</v>
      </c>
      <c r="J145" s="39">
        <v>19</v>
      </c>
      <c r="K145" s="39">
        <v>3</v>
      </c>
      <c r="L145" s="39">
        <v>-7</v>
      </c>
      <c r="M145" s="39">
        <v>-16</v>
      </c>
      <c r="N145" s="39">
        <v>-25</v>
      </c>
      <c r="O145" s="39">
        <v>-31</v>
      </c>
      <c r="P145" s="39">
        <v>-13</v>
      </c>
      <c r="Q145" s="39">
        <v>10</v>
      </c>
      <c r="R145" s="39">
        <v>22</v>
      </c>
      <c r="S145" s="39">
        <v>30</v>
      </c>
      <c r="T145" s="39">
        <v>36</v>
      </c>
      <c r="U145" s="39">
        <v>40</v>
      </c>
      <c r="V145" s="39">
        <v>38</v>
      </c>
      <c r="W145" s="39">
        <v>25</v>
      </c>
      <c r="X145" s="39">
        <v>12</v>
      </c>
      <c r="Y145" s="40">
        <v>6</v>
      </c>
      <c r="Z145" s="41">
        <f t="shared" si="9"/>
        <v>295</v>
      </c>
      <c r="AA145" s="42">
        <f t="shared" si="10"/>
        <v>12.291666666666666</v>
      </c>
    </row>
    <row r="146" spans="1:27" ht="14.1" customHeight="1" x14ac:dyDescent="0.2">
      <c r="A146" s="37">
        <v>27</v>
      </c>
      <c r="B146" s="38">
        <v>-2</v>
      </c>
      <c r="C146" s="39">
        <v>-10</v>
      </c>
      <c r="D146" s="39">
        <v>-12</v>
      </c>
      <c r="E146" s="39">
        <v>8</v>
      </c>
      <c r="F146" s="39">
        <v>28</v>
      </c>
      <c r="G146" s="39">
        <v>38</v>
      </c>
      <c r="H146" s="39">
        <v>45</v>
      </c>
      <c r="I146" s="39">
        <v>49</v>
      </c>
      <c r="J146" s="39">
        <v>47</v>
      </c>
      <c r="K146" s="39">
        <v>31</v>
      </c>
      <c r="L146" s="39">
        <v>17</v>
      </c>
      <c r="M146" s="39">
        <v>10</v>
      </c>
      <c r="N146" s="39">
        <v>2</v>
      </c>
      <c r="O146" s="39">
        <v>-7</v>
      </c>
      <c r="P146" s="39">
        <v>-5</v>
      </c>
      <c r="Q146" s="39">
        <v>19</v>
      </c>
      <c r="R146" s="39">
        <v>35</v>
      </c>
      <c r="S146" s="39">
        <v>44</v>
      </c>
      <c r="T146" s="39">
        <v>50</v>
      </c>
      <c r="U146" s="39">
        <v>54</v>
      </c>
      <c r="V146" s="39">
        <v>54</v>
      </c>
      <c r="W146" s="39">
        <v>39</v>
      </c>
      <c r="X146" s="39">
        <v>23</v>
      </c>
      <c r="Y146" s="40">
        <v>15</v>
      </c>
      <c r="Z146" s="41">
        <f t="shared" si="9"/>
        <v>572</v>
      </c>
      <c r="AA146" s="42">
        <f t="shared" si="10"/>
        <v>23.833333333333332</v>
      </c>
    </row>
    <row r="147" spans="1:27" ht="14.1" customHeight="1" x14ac:dyDescent="0.2">
      <c r="A147" s="37">
        <v>28</v>
      </c>
      <c r="B147" s="38">
        <v>7</v>
      </c>
      <c r="C147" s="39">
        <v>-3</v>
      </c>
      <c r="D147" s="39">
        <v>-13</v>
      </c>
      <c r="E147" s="39">
        <v>-11</v>
      </c>
      <c r="F147" s="39">
        <v>15</v>
      </c>
      <c r="G147" s="39">
        <v>32</v>
      </c>
      <c r="H147" s="39">
        <v>42</v>
      </c>
      <c r="I147" s="39">
        <v>49</v>
      </c>
      <c r="J147" s="39">
        <v>53</v>
      </c>
      <c r="K147" s="39">
        <v>52</v>
      </c>
      <c r="L147" s="39">
        <v>39</v>
      </c>
      <c r="M147" s="39">
        <v>23</v>
      </c>
      <c r="N147" s="39">
        <v>15</v>
      </c>
      <c r="O147" s="39">
        <v>7</v>
      </c>
      <c r="P147" s="39">
        <v>2</v>
      </c>
      <c r="Q147" s="39">
        <v>15</v>
      </c>
      <c r="R147" s="39">
        <v>38</v>
      </c>
      <c r="S147" s="39">
        <v>49</v>
      </c>
      <c r="T147" s="39">
        <v>55</v>
      </c>
      <c r="U147" s="39">
        <v>59</v>
      </c>
      <c r="V147" s="39">
        <v>61</v>
      </c>
      <c r="W147" s="39">
        <v>56</v>
      </c>
      <c r="X147" s="39">
        <v>38</v>
      </c>
      <c r="Y147" s="40">
        <v>25</v>
      </c>
      <c r="Z147" s="41">
        <f t="shared" si="9"/>
        <v>705</v>
      </c>
      <c r="AA147" s="42">
        <f t="shared" si="10"/>
        <v>29.375</v>
      </c>
    </row>
    <row r="148" spans="1:27" ht="14.1" customHeight="1" x14ac:dyDescent="0.2">
      <c r="A148" s="37">
        <v>29</v>
      </c>
      <c r="B148" s="38">
        <v>17</v>
      </c>
      <c r="C148" s="39">
        <v>8</v>
      </c>
      <c r="D148" s="39">
        <v>-2</v>
      </c>
      <c r="E148" s="39">
        <v>-12</v>
      </c>
      <c r="F148" s="39">
        <v>-4</v>
      </c>
      <c r="G148" s="39">
        <v>22</v>
      </c>
      <c r="H148" s="39">
        <v>38</v>
      </c>
      <c r="I148" s="39">
        <v>47</v>
      </c>
      <c r="J148" s="39">
        <v>52</v>
      </c>
      <c r="K148" s="39">
        <v>56</v>
      </c>
      <c r="L148" s="39">
        <v>55</v>
      </c>
      <c r="M148" s="39">
        <v>42</v>
      </c>
      <c r="N148" s="39">
        <v>25</v>
      </c>
      <c r="O148" s="39">
        <v>15</v>
      </c>
      <c r="P148" s="39">
        <v>9</v>
      </c>
      <c r="Q148" s="39">
        <v>6</v>
      </c>
      <c r="R148" s="39">
        <v>24</v>
      </c>
      <c r="S148" s="39">
        <v>43</v>
      </c>
      <c r="T148" s="39">
        <v>52</v>
      </c>
      <c r="U148" s="39">
        <v>57</v>
      </c>
      <c r="V148" s="39">
        <v>61</v>
      </c>
      <c r="W148" s="39">
        <v>61</v>
      </c>
      <c r="X148" s="39">
        <v>49</v>
      </c>
      <c r="Y148" s="40">
        <v>32</v>
      </c>
      <c r="Z148" s="41">
        <f t="shared" si="9"/>
        <v>753</v>
      </c>
      <c r="AA148" s="42">
        <f t="shared" si="10"/>
        <v>31.375</v>
      </c>
    </row>
    <row r="149" spans="1:27" ht="14.1" customHeight="1" x14ac:dyDescent="0.2">
      <c r="A149" s="37">
        <v>30</v>
      </c>
      <c r="B149" s="38">
        <v>22</v>
      </c>
      <c r="C149" s="39">
        <v>14</v>
      </c>
      <c r="D149" s="39">
        <v>5</v>
      </c>
      <c r="E149" s="39">
        <v>-5</v>
      </c>
      <c r="F149" s="39">
        <v>-14</v>
      </c>
      <c r="G149" s="39">
        <v>-1</v>
      </c>
      <c r="H149" s="39">
        <v>24</v>
      </c>
      <c r="I149" s="39">
        <v>38</v>
      </c>
      <c r="J149" s="39">
        <v>46</v>
      </c>
      <c r="K149" s="39">
        <v>52</v>
      </c>
      <c r="L149" s="39">
        <v>55</v>
      </c>
      <c r="M149" s="39">
        <v>54</v>
      </c>
      <c r="N149" s="39">
        <v>44</v>
      </c>
      <c r="O149" s="39">
        <v>29</v>
      </c>
      <c r="P149" s="39">
        <v>21</v>
      </c>
      <c r="Q149" s="39">
        <v>19</v>
      </c>
      <c r="R149" s="39">
        <v>30</v>
      </c>
      <c r="S149" s="39">
        <v>50</v>
      </c>
      <c r="T149" s="39">
        <v>60</v>
      </c>
      <c r="U149" s="39">
        <v>63</v>
      </c>
      <c r="V149" s="39">
        <v>67</v>
      </c>
      <c r="W149" s="39">
        <v>68</v>
      </c>
      <c r="X149" s="39">
        <v>61</v>
      </c>
      <c r="Y149" s="40">
        <v>44</v>
      </c>
      <c r="Z149" s="41">
        <f t="shared" si="9"/>
        <v>846</v>
      </c>
      <c r="AA149" s="42">
        <f t="shared" si="10"/>
        <v>35.25</v>
      </c>
    </row>
    <row r="150" spans="1:27" ht="14.1" customHeight="1" x14ac:dyDescent="0.2">
      <c r="A150" s="37">
        <v>31</v>
      </c>
      <c r="B150" s="44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6"/>
      <c r="Z150" s="47">
        <f t="shared" si="9"/>
        <v>0</v>
      </c>
      <c r="AA150" s="48" t="e">
        <f t="shared" si="10"/>
        <v>#DIV/0!</v>
      </c>
    </row>
    <row r="151" spans="1:27" ht="14.1" customHeight="1" x14ac:dyDescent="0.2">
      <c r="A151" s="27" t="s">
        <v>7</v>
      </c>
      <c r="B151" s="49">
        <f t="shared" ref="B151:Y151" si="11">SUM(B120:B150)</f>
        <v>895</v>
      </c>
      <c r="C151" s="49">
        <f t="shared" si="11"/>
        <v>687</v>
      </c>
      <c r="D151" s="49">
        <f t="shared" si="11"/>
        <v>566</v>
      </c>
      <c r="E151" s="49">
        <f t="shared" si="11"/>
        <v>517</v>
      </c>
      <c r="F151" s="49">
        <f t="shared" si="11"/>
        <v>535</v>
      </c>
      <c r="G151" s="49">
        <f t="shared" si="11"/>
        <v>607</v>
      </c>
      <c r="H151" s="49">
        <f t="shared" si="11"/>
        <v>688</v>
      </c>
      <c r="I151" s="49">
        <f t="shared" si="11"/>
        <v>755</v>
      </c>
      <c r="J151" s="49">
        <f t="shared" si="11"/>
        <v>741</v>
      </c>
      <c r="K151" s="49">
        <f t="shared" si="11"/>
        <v>722</v>
      </c>
      <c r="L151" s="49">
        <f t="shared" si="11"/>
        <v>676</v>
      </c>
      <c r="M151" s="49">
        <f t="shared" si="11"/>
        <v>624</v>
      </c>
      <c r="N151" s="49">
        <f t="shared" si="11"/>
        <v>572</v>
      </c>
      <c r="O151" s="49">
        <f t="shared" si="11"/>
        <v>541</v>
      </c>
      <c r="P151" s="49">
        <f t="shared" si="11"/>
        <v>595</v>
      </c>
      <c r="Q151" s="50">
        <f t="shared" si="11"/>
        <v>752</v>
      </c>
      <c r="R151" s="49">
        <f t="shared" si="11"/>
        <v>1002</v>
      </c>
      <c r="S151" s="49">
        <f t="shared" si="11"/>
        <v>1287</v>
      </c>
      <c r="T151" s="49">
        <f t="shared" si="11"/>
        <v>1498</v>
      </c>
      <c r="U151" s="49">
        <f t="shared" si="11"/>
        <v>1625</v>
      </c>
      <c r="V151" s="49">
        <f t="shared" si="11"/>
        <v>1672</v>
      </c>
      <c r="W151" s="49">
        <f t="shared" si="11"/>
        <v>1584</v>
      </c>
      <c r="X151" s="49">
        <f t="shared" si="11"/>
        <v>1378</v>
      </c>
      <c r="Y151" s="49">
        <f t="shared" si="11"/>
        <v>1138</v>
      </c>
      <c r="Z151" s="51">
        <f>SUM(B120:Y150)</f>
        <v>21657</v>
      </c>
      <c r="AA151" s="52">
        <f>AVERAGE(B120:Y150)</f>
        <v>30.079166666666666</v>
      </c>
    </row>
    <row r="152" spans="1:27" ht="14.1" customHeight="1" x14ac:dyDescent="0.25">
      <c r="A152" s="53" t="s">
        <v>10</v>
      </c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 spans="1:27" ht="14.1" customHeight="1" x14ac:dyDescent="0.25">
      <c r="A153" s="55" t="str">
        <f>A115</f>
        <v>Trạm: Gò Dầu Hạ</v>
      </c>
      <c r="B153" s="2"/>
      <c r="C153" s="3"/>
      <c r="D153" s="4"/>
      <c r="E153" s="5"/>
      <c r="F153" s="5"/>
      <c r="G153" s="5"/>
      <c r="H153" s="5"/>
      <c r="I153" s="6"/>
      <c r="J153" s="4"/>
      <c r="K153" s="5"/>
      <c r="L153" s="5"/>
      <c r="M153" s="5"/>
      <c r="N153" s="5"/>
      <c r="O153" s="4"/>
      <c r="P153" s="6"/>
      <c r="Q153" s="4"/>
      <c r="R153" s="5"/>
      <c r="S153" s="5"/>
      <c r="T153" s="5"/>
      <c r="U153" s="5"/>
      <c r="V153" s="6"/>
      <c r="W153" s="4"/>
      <c r="X153" s="7"/>
      <c r="Y153" s="5"/>
      <c r="Z153" s="5"/>
      <c r="AA153" s="5"/>
    </row>
    <row r="154" spans="1:27" ht="14.1" customHeight="1" x14ac:dyDescent="0.25">
      <c r="A154" s="55" t="str">
        <f>A116</f>
        <v>Sông: Vàm Cỏ Đông</v>
      </c>
      <c r="B154" s="2"/>
      <c r="C154" s="2"/>
      <c r="D154" s="9"/>
      <c r="E154" s="10"/>
      <c r="F154" s="10"/>
      <c r="G154" s="10"/>
      <c r="H154" s="10"/>
      <c r="I154" s="11"/>
      <c r="J154" s="11"/>
      <c r="K154" s="5"/>
      <c r="L154" s="5"/>
      <c r="M154" s="12" t="s">
        <v>2</v>
      </c>
      <c r="N154" s="13"/>
      <c r="O154" s="13"/>
      <c r="P154" s="13"/>
      <c r="Q154" s="14"/>
      <c r="R154" s="14"/>
      <c r="S154" s="10"/>
      <c r="T154" s="10"/>
      <c r="U154" s="10"/>
      <c r="V154" s="11"/>
      <c r="W154" s="11"/>
      <c r="X154" s="7"/>
      <c r="Y154" s="5"/>
      <c r="Z154" s="5"/>
      <c r="AA154" s="5"/>
    </row>
    <row r="155" spans="1:27" ht="14.1" customHeight="1" x14ac:dyDescent="0.25">
      <c r="A155" s="56" t="s">
        <v>3</v>
      </c>
      <c r="B155" s="16">
        <f>B117+1</f>
        <v>5</v>
      </c>
      <c r="C155" s="16"/>
      <c r="D155" s="17"/>
      <c r="E155" s="9"/>
      <c r="F155" s="18"/>
      <c r="G155" s="10"/>
      <c r="H155" s="10"/>
      <c r="I155" s="10"/>
      <c r="J155" s="4"/>
      <c r="K155" s="5"/>
      <c r="L155" s="5"/>
      <c r="M155" s="19"/>
      <c r="N155" s="20" t="s">
        <v>4</v>
      </c>
      <c r="O155" s="22">
        <f>O117</f>
        <v>2025</v>
      </c>
      <c r="P155" s="22"/>
      <c r="Q155" s="13"/>
      <c r="R155" s="14"/>
      <c r="S155" s="18"/>
      <c r="T155" s="10"/>
      <c r="U155" s="10"/>
      <c r="V155" s="10"/>
      <c r="W155" s="4"/>
      <c r="X155" s="23" t="s">
        <v>5</v>
      </c>
      <c r="Y155" s="5"/>
      <c r="Z155" s="5"/>
      <c r="AA155" s="5"/>
    </row>
    <row r="156" spans="1:27" ht="14.1" customHeight="1" x14ac:dyDescent="0.2">
      <c r="A156" s="24" t="s">
        <v>6</v>
      </c>
      <c r="B156" s="25">
        <v>0</v>
      </c>
      <c r="C156" s="26">
        <v>1</v>
      </c>
      <c r="D156" s="25">
        <v>2</v>
      </c>
      <c r="E156" s="25">
        <v>3</v>
      </c>
      <c r="F156" s="26">
        <v>4</v>
      </c>
      <c r="G156" s="25">
        <v>5</v>
      </c>
      <c r="H156" s="25">
        <v>6</v>
      </c>
      <c r="I156" s="26">
        <v>7</v>
      </c>
      <c r="J156" s="25">
        <v>8</v>
      </c>
      <c r="K156" s="25">
        <v>9</v>
      </c>
      <c r="L156" s="25">
        <v>10</v>
      </c>
      <c r="M156" s="25">
        <v>11</v>
      </c>
      <c r="N156" s="25">
        <v>12</v>
      </c>
      <c r="O156" s="25">
        <v>13</v>
      </c>
      <c r="P156" s="26">
        <v>14</v>
      </c>
      <c r="Q156" s="25">
        <v>15</v>
      </c>
      <c r="R156" s="26">
        <v>16</v>
      </c>
      <c r="S156" s="25">
        <v>17</v>
      </c>
      <c r="T156" s="26">
        <v>18</v>
      </c>
      <c r="U156" s="25">
        <v>19</v>
      </c>
      <c r="V156" s="26">
        <v>20</v>
      </c>
      <c r="W156" s="25">
        <v>21</v>
      </c>
      <c r="X156" s="26">
        <v>22</v>
      </c>
      <c r="Y156" s="25">
        <v>23</v>
      </c>
      <c r="Z156" s="27" t="s">
        <v>7</v>
      </c>
      <c r="AA156" s="27" t="s">
        <v>8</v>
      </c>
    </row>
    <row r="157" spans="1:27" ht="14.1" customHeight="1" x14ac:dyDescent="0.2">
      <c r="A157" s="28" t="s">
        <v>9</v>
      </c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30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 spans="1:27" ht="14.1" customHeight="1" x14ac:dyDescent="0.2">
      <c r="A158" s="31">
        <v>1</v>
      </c>
      <c r="B158" s="32">
        <v>31</v>
      </c>
      <c r="C158" s="33">
        <v>24</v>
      </c>
      <c r="D158" s="33">
        <v>15</v>
      </c>
      <c r="E158" s="33">
        <v>6</v>
      </c>
      <c r="F158" s="33">
        <v>-3</v>
      </c>
      <c r="G158" s="33">
        <v>-9</v>
      </c>
      <c r="H158" s="33">
        <v>9</v>
      </c>
      <c r="I158" s="33">
        <v>30</v>
      </c>
      <c r="J158" s="33">
        <v>40</v>
      </c>
      <c r="K158" s="33">
        <v>47</v>
      </c>
      <c r="L158" s="33">
        <v>52</v>
      </c>
      <c r="M158" s="33">
        <v>56</v>
      </c>
      <c r="N158" s="33">
        <v>57</v>
      </c>
      <c r="O158" s="33">
        <v>51</v>
      </c>
      <c r="P158" s="33">
        <v>40</v>
      </c>
      <c r="Q158" s="33">
        <v>33</v>
      </c>
      <c r="R158" s="33">
        <v>34</v>
      </c>
      <c r="S158" s="33">
        <v>49</v>
      </c>
      <c r="T158" s="33">
        <v>61</v>
      </c>
      <c r="U158" s="33">
        <v>66</v>
      </c>
      <c r="V158" s="33">
        <v>69</v>
      </c>
      <c r="W158" s="33">
        <v>72</v>
      </c>
      <c r="X158" s="33">
        <v>69</v>
      </c>
      <c r="Y158" s="34">
        <v>56</v>
      </c>
      <c r="Z158" s="35">
        <f t="shared" ref="Z158:Z188" si="12">SUM(B158:Y158)</f>
        <v>955</v>
      </c>
      <c r="AA158" s="36">
        <f t="shared" ref="AA158:AA188" si="13">AVERAGE(B158:Y158)</f>
        <v>39.791666666666664</v>
      </c>
    </row>
    <row r="159" spans="1:27" ht="14.1" customHeight="1" x14ac:dyDescent="0.2">
      <c r="A159" s="37">
        <v>2</v>
      </c>
      <c r="B159" s="38">
        <v>40</v>
      </c>
      <c r="C159" s="39">
        <v>32</v>
      </c>
      <c r="D159" s="39">
        <v>24</v>
      </c>
      <c r="E159" s="39">
        <v>16</v>
      </c>
      <c r="F159" s="39">
        <v>7</v>
      </c>
      <c r="G159" s="39">
        <v>-2</v>
      </c>
      <c r="H159" s="39">
        <v>-6</v>
      </c>
      <c r="I159" s="39">
        <v>8</v>
      </c>
      <c r="J159" s="39">
        <v>27</v>
      </c>
      <c r="K159" s="39">
        <v>41</v>
      </c>
      <c r="L159" s="39">
        <v>49</v>
      </c>
      <c r="M159" s="39">
        <v>54</v>
      </c>
      <c r="N159" s="39">
        <v>58</v>
      </c>
      <c r="O159" s="39">
        <v>60</v>
      </c>
      <c r="P159" s="39">
        <v>56</v>
      </c>
      <c r="Q159" s="39">
        <v>51</v>
      </c>
      <c r="R159" s="39">
        <v>49</v>
      </c>
      <c r="S159" s="39">
        <v>55</v>
      </c>
      <c r="T159" s="39">
        <v>65</v>
      </c>
      <c r="U159" s="39">
        <v>72</v>
      </c>
      <c r="V159" s="39">
        <v>76</v>
      </c>
      <c r="W159" s="39">
        <v>79</v>
      </c>
      <c r="X159" s="39">
        <v>79</v>
      </c>
      <c r="Y159" s="40">
        <v>71</v>
      </c>
      <c r="Z159" s="41">
        <f t="shared" si="12"/>
        <v>1061</v>
      </c>
      <c r="AA159" s="42">
        <f t="shared" si="13"/>
        <v>44.208333333333336</v>
      </c>
    </row>
    <row r="160" spans="1:27" ht="14.1" customHeight="1" x14ac:dyDescent="0.2">
      <c r="A160" s="37">
        <v>3</v>
      </c>
      <c r="B160" s="38">
        <v>55</v>
      </c>
      <c r="C160" s="39">
        <v>44</v>
      </c>
      <c r="D160" s="39">
        <v>37</v>
      </c>
      <c r="E160" s="39">
        <v>30</v>
      </c>
      <c r="F160" s="39">
        <v>22</v>
      </c>
      <c r="G160" s="39">
        <v>12</v>
      </c>
      <c r="H160" s="39">
        <v>4</v>
      </c>
      <c r="I160" s="39">
        <v>2</v>
      </c>
      <c r="J160" s="39">
        <v>13</v>
      </c>
      <c r="K160" s="39">
        <v>30</v>
      </c>
      <c r="L160" s="39">
        <v>43</v>
      </c>
      <c r="M160" s="39">
        <v>50</v>
      </c>
      <c r="N160" s="39">
        <v>56</v>
      </c>
      <c r="O160" s="39">
        <v>60</v>
      </c>
      <c r="P160" s="39">
        <v>62</v>
      </c>
      <c r="Q160" s="39">
        <v>61</v>
      </c>
      <c r="R160" s="39">
        <v>59</v>
      </c>
      <c r="S160" s="39">
        <v>60</v>
      </c>
      <c r="T160" s="39">
        <v>63</v>
      </c>
      <c r="U160" s="39">
        <v>73</v>
      </c>
      <c r="V160" s="39">
        <v>77</v>
      </c>
      <c r="W160" s="39">
        <v>80</v>
      </c>
      <c r="X160" s="39">
        <v>81</v>
      </c>
      <c r="Y160" s="40">
        <v>78</v>
      </c>
      <c r="Z160" s="41">
        <f t="shared" si="12"/>
        <v>1152</v>
      </c>
      <c r="AA160" s="42">
        <f t="shared" si="13"/>
        <v>48</v>
      </c>
    </row>
    <row r="161" spans="1:27" ht="14.1" customHeight="1" x14ac:dyDescent="0.2">
      <c r="A161" s="37">
        <v>4</v>
      </c>
      <c r="B161" s="38">
        <v>66</v>
      </c>
      <c r="C161" s="39">
        <v>54</v>
      </c>
      <c r="D161" s="39">
        <v>46</v>
      </c>
      <c r="E161" s="39">
        <v>40</v>
      </c>
      <c r="F161" s="39">
        <v>32</v>
      </c>
      <c r="G161" s="39">
        <v>24</v>
      </c>
      <c r="H161" s="39">
        <v>17</v>
      </c>
      <c r="I161" s="39">
        <v>10</v>
      </c>
      <c r="J161" s="39">
        <v>7</v>
      </c>
      <c r="K161" s="39">
        <v>19</v>
      </c>
      <c r="L161" s="39">
        <v>35</v>
      </c>
      <c r="M161" s="39">
        <v>46</v>
      </c>
      <c r="N161" s="39">
        <v>52</v>
      </c>
      <c r="O161" s="39">
        <v>57</v>
      </c>
      <c r="P161" s="39">
        <v>60</v>
      </c>
      <c r="Q161" s="39">
        <v>62</v>
      </c>
      <c r="R161" s="39">
        <v>61</v>
      </c>
      <c r="S161" s="39">
        <v>60</v>
      </c>
      <c r="T161" s="39">
        <v>59</v>
      </c>
      <c r="U161" s="39">
        <v>59</v>
      </c>
      <c r="V161" s="39">
        <v>61</v>
      </c>
      <c r="W161" s="39">
        <v>63</v>
      </c>
      <c r="X161" s="39">
        <v>63</v>
      </c>
      <c r="Y161" s="40">
        <v>60</v>
      </c>
      <c r="Z161" s="41">
        <f t="shared" si="12"/>
        <v>1113</v>
      </c>
      <c r="AA161" s="42">
        <f t="shared" si="13"/>
        <v>46.375</v>
      </c>
    </row>
    <row r="162" spans="1:27" ht="14.1" customHeight="1" x14ac:dyDescent="0.2">
      <c r="A162" s="37">
        <v>5</v>
      </c>
      <c r="B162" s="38">
        <v>54</v>
      </c>
      <c r="C162" s="39">
        <v>46</v>
      </c>
      <c r="D162" s="39">
        <v>38</v>
      </c>
      <c r="E162" s="39">
        <v>30</v>
      </c>
      <c r="F162" s="39">
        <v>23</v>
      </c>
      <c r="G162" s="39">
        <v>15</v>
      </c>
      <c r="H162" s="39">
        <v>7</v>
      </c>
      <c r="I162" s="39">
        <v>0</v>
      </c>
      <c r="J162" s="39">
        <v>-8</v>
      </c>
      <c r="K162" s="39">
        <v>-7</v>
      </c>
      <c r="L162" s="39">
        <v>7</v>
      </c>
      <c r="M162" s="39">
        <v>24</v>
      </c>
      <c r="N162" s="39">
        <v>35</v>
      </c>
      <c r="O162" s="39">
        <v>42</v>
      </c>
      <c r="P162" s="39">
        <v>48</v>
      </c>
      <c r="Q162" s="39">
        <v>52</v>
      </c>
      <c r="R162" s="39">
        <v>55</v>
      </c>
      <c r="S162" s="39">
        <v>56</v>
      </c>
      <c r="T162" s="39">
        <v>53</v>
      </c>
      <c r="U162" s="39">
        <v>46</v>
      </c>
      <c r="V162" s="39">
        <v>40</v>
      </c>
      <c r="W162" s="39">
        <v>38</v>
      </c>
      <c r="X162" s="39">
        <v>37</v>
      </c>
      <c r="Y162" s="40">
        <v>36</v>
      </c>
      <c r="Z162" s="41">
        <f t="shared" si="12"/>
        <v>767</v>
      </c>
      <c r="AA162" s="42">
        <f t="shared" si="13"/>
        <v>31.958333333333332</v>
      </c>
    </row>
    <row r="163" spans="1:27" ht="14.1" customHeight="1" x14ac:dyDescent="0.2">
      <c r="A163" s="37">
        <v>6</v>
      </c>
      <c r="B163" s="38">
        <v>35</v>
      </c>
      <c r="C163" s="39">
        <v>32</v>
      </c>
      <c r="D163" s="39">
        <v>27</v>
      </c>
      <c r="E163" s="39">
        <v>20</v>
      </c>
      <c r="F163" s="39">
        <v>11</v>
      </c>
      <c r="G163" s="39">
        <v>3</v>
      </c>
      <c r="H163" s="39">
        <v>-6</v>
      </c>
      <c r="I163" s="39">
        <v>-15</v>
      </c>
      <c r="J163" s="39">
        <v>-26</v>
      </c>
      <c r="K163" s="39">
        <v>-33</v>
      </c>
      <c r="L163" s="39">
        <v>-32</v>
      </c>
      <c r="M163" s="39">
        <v>-14</v>
      </c>
      <c r="N163" s="39">
        <v>4</v>
      </c>
      <c r="O163" s="39">
        <v>14</v>
      </c>
      <c r="P163" s="39">
        <v>22</v>
      </c>
      <c r="Q163" s="39">
        <v>30</v>
      </c>
      <c r="R163" s="39">
        <v>35</v>
      </c>
      <c r="S163" s="39">
        <v>39</v>
      </c>
      <c r="T163" s="39">
        <v>39</v>
      </c>
      <c r="U163" s="39">
        <v>31</v>
      </c>
      <c r="V163" s="39">
        <v>20</v>
      </c>
      <c r="W163" s="39">
        <v>14</v>
      </c>
      <c r="X163" s="39">
        <v>9</v>
      </c>
      <c r="Y163" s="40">
        <v>7</v>
      </c>
      <c r="Z163" s="41">
        <f t="shared" si="12"/>
        <v>266</v>
      </c>
      <c r="AA163" s="42">
        <f t="shared" si="13"/>
        <v>11.083333333333334</v>
      </c>
    </row>
    <row r="164" spans="1:27" ht="14.1" customHeight="1" x14ac:dyDescent="0.2">
      <c r="A164" s="37">
        <v>7</v>
      </c>
      <c r="B164" s="38">
        <v>7</v>
      </c>
      <c r="C164" s="39">
        <v>10</v>
      </c>
      <c r="D164" s="39">
        <v>14</v>
      </c>
      <c r="E164" s="39">
        <v>14</v>
      </c>
      <c r="F164" s="39">
        <v>7</v>
      </c>
      <c r="G164" s="39">
        <v>-3</v>
      </c>
      <c r="H164" s="39">
        <v>-12</v>
      </c>
      <c r="I164" s="39">
        <v>-22</v>
      </c>
      <c r="J164" s="39">
        <v>-32</v>
      </c>
      <c r="K164" s="39">
        <v>-42</v>
      </c>
      <c r="L164" s="39">
        <v>-47</v>
      </c>
      <c r="M164" s="39">
        <v>-40</v>
      </c>
      <c r="N164" s="39">
        <v>-17</v>
      </c>
      <c r="O164" s="39">
        <v>-1</v>
      </c>
      <c r="P164" s="39">
        <v>8</v>
      </c>
      <c r="Q164" s="39">
        <v>15</v>
      </c>
      <c r="R164" s="39">
        <v>22</v>
      </c>
      <c r="S164" s="39">
        <v>27</v>
      </c>
      <c r="T164" s="39">
        <v>28</v>
      </c>
      <c r="U164" s="39">
        <v>22</v>
      </c>
      <c r="V164" s="39">
        <v>8</v>
      </c>
      <c r="W164" s="39">
        <v>-2</v>
      </c>
      <c r="X164" s="39">
        <v>-10</v>
      </c>
      <c r="Y164" s="40">
        <v>-15</v>
      </c>
      <c r="Z164" s="41">
        <f t="shared" si="12"/>
        <v>-61</v>
      </c>
      <c r="AA164" s="42">
        <f t="shared" si="13"/>
        <v>-2.5416666666666665</v>
      </c>
    </row>
    <row r="165" spans="1:27" ht="14.1" customHeight="1" x14ac:dyDescent="0.2">
      <c r="A165" s="37">
        <v>8</v>
      </c>
      <c r="B165" s="38">
        <v>-19</v>
      </c>
      <c r="C165" s="39">
        <v>-15</v>
      </c>
      <c r="D165" s="39">
        <v>-3</v>
      </c>
      <c r="E165" s="39">
        <v>8</v>
      </c>
      <c r="F165" s="39">
        <v>13</v>
      </c>
      <c r="G165" s="39">
        <v>13</v>
      </c>
      <c r="H165" s="39">
        <v>1</v>
      </c>
      <c r="I165" s="39">
        <v>-14</v>
      </c>
      <c r="J165" s="39">
        <v>-24</v>
      </c>
      <c r="K165" s="39">
        <v>-32</v>
      </c>
      <c r="L165" s="39">
        <v>-41</v>
      </c>
      <c r="M165" s="39">
        <v>-44</v>
      </c>
      <c r="N165" s="39">
        <v>-29</v>
      </c>
      <c r="O165" s="39">
        <v>-7</v>
      </c>
      <c r="P165" s="39">
        <v>8</v>
      </c>
      <c r="Q165" s="39">
        <v>18</v>
      </c>
      <c r="R165" s="39">
        <v>25</v>
      </c>
      <c r="S165" s="39">
        <v>31</v>
      </c>
      <c r="T165" s="39">
        <v>34</v>
      </c>
      <c r="U165" s="39">
        <v>31</v>
      </c>
      <c r="V165" s="39">
        <v>17</v>
      </c>
      <c r="W165" s="39">
        <v>2</v>
      </c>
      <c r="X165" s="39">
        <v>-7</v>
      </c>
      <c r="Y165" s="40">
        <v>-14</v>
      </c>
      <c r="Z165" s="41">
        <f t="shared" si="12"/>
        <v>-48</v>
      </c>
      <c r="AA165" s="42">
        <f t="shared" si="13"/>
        <v>-2</v>
      </c>
    </row>
    <row r="166" spans="1:27" ht="14.1" customHeight="1" x14ac:dyDescent="0.2">
      <c r="A166" s="37">
        <v>9</v>
      </c>
      <c r="B166" s="38">
        <v>-21</v>
      </c>
      <c r="C166" s="39">
        <v>-21</v>
      </c>
      <c r="D166" s="39">
        <v>-7</v>
      </c>
      <c r="E166" s="39">
        <v>10</v>
      </c>
      <c r="F166" s="39">
        <v>18</v>
      </c>
      <c r="G166" s="39">
        <v>23</v>
      </c>
      <c r="H166" s="39">
        <v>24</v>
      </c>
      <c r="I166" s="39">
        <v>16</v>
      </c>
      <c r="J166" s="39">
        <v>-2</v>
      </c>
      <c r="K166" s="39">
        <v>-13</v>
      </c>
      <c r="L166" s="39">
        <v>-21</v>
      </c>
      <c r="M166" s="39">
        <v>-29</v>
      </c>
      <c r="N166" s="39">
        <v>-32</v>
      </c>
      <c r="O166" s="39">
        <v>-19</v>
      </c>
      <c r="P166" s="39">
        <v>3</v>
      </c>
      <c r="Q166" s="39">
        <v>15</v>
      </c>
      <c r="R166" s="39">
        <v>23</v>
      </c>
      <c r="S166" s="39">
        <v>29</v>
      </c>
      <c r="T166" s="39">
        <v>32</v>
      </c>
      <c r="U166" s="39">
        <v>31</v>
      </c>
      <c r="V166" s="39">
        <v>19</v>
      </c>
      <c r="W166" s="39">
        <v>3</v>
      </c>
      <c r="X166" s="39">
        <v>-6</v>
      </c>
      <c r="Y166" s="40">
        <v>-15</v>
      </c>
      <c r="Z166" s="41">
        <f t="shared" si="12"/>
        <v>60</v>
      </c>
      <c r="AA166" s="42">
        <f t="shared" si="13"/>
        <v>2.5</v>
      </c>
    </row>
    <row r="167" spans="1:27" ht="14.1" customHeight="1" x14ac:dyDescent="0.2">
      <c r="A167" s="37">
        <v>10</v>
      </c>
      <c r="B167" s="38">
        <v>-24</v>
      </c>
      <c r="C167" s="39">
        <v>-30</v>
      </c>
      <c r="D167" s="39">
        <v>-22</v>
      </c>
      <c r="E167" s="39">
        <v>0</v>
      </c>
      <c r="F167" s="39">
        <v>13</v>
      </c>
      <c r="G167" s="39">
        <v>20</v>
      </c>
      <c r="H167" s="39">
        <v>25</v>
      </c>
      <c r="I167" s="39">
        <v>32</v>
      </c>
      <c r="J167" s="39">
        <v>29</v>
      </c>
      <c r="K167" s="39">
        <v>18</v>
      </c>
      <c r="L167" s="39">
        <v>11</v>
      </c>
      <c r="M167" s="39">
        <v>8</v>
      </c>
      <c r="N167" s="39">
        <v>5</v>
      </c>
      <c r="O167" s="39">
        <v>5</v>
      </c>
      <c r="P167" s="39">
        <v>12</v>
      </c>
      <c r="Q167" s="39">
        <v>28</v>
      </c>
      <c r="R167" s="39">
        <v>42</v>
      </c>
      <c r="S167" s="39">
        <v>50</v>
      </c>
      <c r="T167" s="39">
        <v>54</v>
      </c>
      <c r="U167" s="39">
        <v>53</v>
      </c>
      <c r="V167" s="39">
        <v>40</v>
      </c>
      <c r="W167" s="39">
        <v>25</v>
      </c>
      <c r="X167" s="39">
        <v>18</v>
      </c>
      <c r="Y167" s="40">
        <v>12</v>
      </c>
      <c r="Z167" s="41">
        <f t="shared" si="12"/>
        <v>424</v>
      </c>
      <c r="AA167" s="42">
        <f t="shared" si="13"/>
        <v>17.666666666666668</v>
      </c>
    </row>
    <row r="168" spans="1:27" ht="14.1" customHeight="1" x14ac:dyDescent="0.2">
      <c r="A168" s="37">
        <v>11</v>
      </c>
      <c r="B168" s="38">
        <v>5</v>
      </c>
      <c r="C168" s="39">
        <v>-2</v>
      </c>
      <c r="D168" s="39">
        <v>-4</v>
      </c>
      <c r="E168" s="39">
        <v>5</v>
      </c>
      <c r="F168" s="39">
        <v>24</v>
      </c>
      <c r="G168" s="39">
        <v>37</v>
      </c>
      <c r="H168" s="39">
        <v>44</v>
      </c>
      <c r="I168" s="39">
        <v>48</v>
      </c>
      <c r="J168" s="39">
        <v>44</v>
      </c>
      <c r="K168" s="39">
        <v>30</v>
      </c>
      <c r="L168" s="39">
        <v>19</v>
      </c>
      <c r="M168" s="39">
        <v>13</v>
      </c>
      <c r="N168" s="39">
        <v>7</v>
      </c>
      <c r="O168" s="39">
        <v>5</v>
      </c>
      <c r="P168" s="39">
        <v>12</v>
      </c>
      <c r="Q168" s="39">
        <v>31</v>
      </c>
      <c r="R168" s="39">
        <v>44</v>
      </c>
      <c r="S168" s="39">
        <v>51</v>
      </c>
      <c r="T168" s="39">
        <v>55</v>
      </c>
      <c r="U168" s="39">
        <v>55</v>
      </c>
      <c r="V168" s="39">
        <v>46</v>
      </c>
      <c r="W168" s="39">
        <v>28</v>
      </c>
      <c r="X168" s="39">
        <v>18</v>
      </c>
      <c r="Y168" s="40">
        <v>11</v>
      </c>
      <c r="Z168" s="41">
        <f t="shared" si="12"/>
        <v>626</v>
      </c>
      <c r="AA168" s="42">
        <f t="shared" si="13"/>
        <v>26.083333333333332</v>
      </c>
    </row>
    <row r="169" spans="1:27" ht="14.1" customHeight="1" x14ac:dyDescent="0.2">
      <c r="A169" s="37">
        <v>12</v>
      </c>
      <c r="B169" s="38">
        <v>2</v>
      </c>
      <c r="C169" s="39">
        <v>-6</v>
      </c>
      <c r="D169" s="39">
        <v>-14</v>
      </c>
      <c r="E169" s="39">
        <v>-9</v>
      </c>
      <c r="F169" s="39">
        <v>14</v>
      </c>
      <c r="G169" s="39">
        <v>30</v>
      </c>
      <c r="H169" s="39">
        <v>39</v>
      </c>
      <c r="I169" s="39">
        <v>45</v>
      </c>
      <c r="J169" s="39">
        <v>48</v>
      </c>
      <c r="K169" s="39">
        <v>45</v>
      </c>
      <c r="L169" s="39">
        <v>31</v>
      </c>
      <c r="M169" s="39">
        <v>19</v>
      </c>
      <c r="N169" s="39">
        <v>12</v>
      </c>
      <c r="O169" s="39">
        <v>7</v>
      </c>
      <c r="P169" s="39">
        <v>8</v>
      </c>
      <c r="Q169" s="39">
        <v>25</v>
      </c>
      <c r="R169" s="39">
        <v>44</v>
      </c>
      <c r="S169" s="39">
        <v>51</v>
      </c>
      <c r="T169" s="39">
        <v>56</v>
      </c>
      <c r="U169" s="39">
        <v>58</v>
      </c>
      <c r="V169" s="39">
        <v>53</v>
      </c>
      <c r="W169" s="39">
        <v>36</v>
      </c>
      <c r="X169" s="39">
        <v>24</v>
      </c>
      <c r="Y169" s="40">
        <v>16</v>
      </c>
      <c r="Z169" s="41">
        <f t="shared" si="12"/>
        <v>634</v>
      </c>
      <c r="AA169" s="42">
        <f t="shared" si="13"/>
        <v>26.416666666666668</v>
      </c>
    </row>
    <row r="170" spans="1:27" ht="14.1" customHeight="1" x14ac:dyDescent="0.2">
      <c r="A170" s="37">
        <v>13</v>
      </c>
      <c r="B170" s="38">
        <v>9</v>
      </c>
      <c r="C170" s="39">
        <v>0</v>
      </c>
      <c r="D170" s="39">
        <v>-9</v>
      </c>
      <c r="E170" s="39">
        <v>-14</v>
      </c>
      <c r="F170" s="39">
        <v>-1</v>
      </c>
      <c r="G170" s="39">
        <v>22</v>
      </c>
      <c r="H170" s="39">
        <v>35</v>
      </c>
      <c r="I170" s="39">
        <v>43</v>
      </c>
      <c r="J170" s="39">
        <v>47</v>
      </c>
      <c r="K170" s="39">
        <v>50</v>
      </c>
      <c r="L170" s="39">
        <v>44</v>
      </c>
      <c r="M170" s="39">
        <v>29</v>
      </c>
      <c r="N170" s="39">
        <v>18</v>
      </c>
      <c r="O170" s="39">
        <v>13</v>
      </c>
      <c r="P170" s="39">
        <v>12</v>
      </c>
      <c r="Q170" s="39">
        <v>24</v>
      </c>
      <c r="R170" s="39">
        <v>43</v>
      </c>
      <c r="S170" s="39">
        <v>51</v>
      </c>
      <c r="T170" s="39">
        <v>56</v>
      </c>
      <c r="U170" s="39">
        <v>60</v>
      </c>
      <c r="V170" s="39">
        <v>59</v>
      </c>
      <c r="W170" s="39">
        <v>47</v>
      </c>
      <c r="X170" s="39">
        <v>31</v>
      </c>
      <c r="Y170" s="40">
        <v>22</v>
      </c>
      <c r="Z170" s="41">
        <f t="shared" si="12"/>
        <v>691</v>
      </c>
      <c r="AA170" s="42">
        <f t="shared" si="13"/>
        <v>28.791666666666668</v>
      </c>
    </row>
    <row r="171" spans="1:27" ht="14.1" customHeight="1" x14ac:dyDescent="0.2">
      <c r="A171" s="37">
        <v>14</v>
      </c>
      <c r="B171" s="38">
        <v>14</v>
      </c>
      <c r="C171" s="39">
        <v>5</v>
      </c>
      <c r="D171" s="39">
        <v>-4</v>
      </c>
      <c r="E171" s="39">
        <v>-14</v>
      </c>
      <c r="F171" s="39">
        <v>-12</v>
      </c>
      <c r="G171" s="39">
        <v>10</v>
      </c>
      <c r="H171" s="39">
        <v>30</v>
      </c>
      <c r="I171" s="39">
        <v>39</v>
      </c>
      <c r="J171" s="39">
        <v>47</v>
      </c>
      <c r="K171" s="39">
        <v>52</v>
      </c>
      <c r="L171" s="39">
        <v>54</v>
      </c>
      <c r="M171" s="39">
        <v>48</v>
      </c>
      <c r="N171" s="39">
        <v>35</v>
      </c>
      <c r="O171" s="39">
        <v>25</v>
      </c>
      <c r="P171" s="39">
        <v>23</v>
      </c>
      <c r="Q171" s="39">
        <v>27</v>
      </c>
      <c r="R171" s="39">
        <v>43</v>
      </c>
      <c r="S171" s="39">
        <v>57</v>
      </c>
      <c r="T171" s="39">
        <v>63</v>
      </c>
      <c r="U171" s="39">
        <v>66</v>
      </c>
      <c r="V171" s="39">
        <v>67</v>
      </c>
      <c r="W171" s="39">
        <v>60</v>
      </c>
      <c r="X171" s="39">
        <v>44</v>
      </c>
      <c r="Y171" s="40">
        <v>34</v>
      </c>
      <c r="Z171" s="41">
        <f t="shared" si="12"/>
        <v>813</v>
      </c>
      <c r="AA171" s="42">
        <f t="shared" si="13"/>
        <v>33.875</v>
      </c>
    </row>
    <row r="172" spans="1:27" ht="14.1" customHeight="1" x14ac:dyDescent="0.2">
      <c r="A172" s="37">
        <v>15</v>
      </c>
      <c r="B172" s="38">
        <v>25</v>
      </c>
      <c r="C172" s="39">
        <v>16</v>
      </c>
      <c r="D172" s="39">
        <v>8</v>
      </c>
      <c r="E172" s="39">
        <v>-1</v>
      </c>
      <c r="F172" s="39">
        <v>-10</v>
      </c>
      <c r="G172" s="39">
        <v>-1</v>
      </c>
      <c r="H172" s="39">
        <v>22</v>
      </c>
      <c r="I172" s="39">
        <v>39</v>
      </c>
      <c r="J172" s="39">
        <v>47</v>
      </c>
      <c r="K172" s="39">
        <v>52</v>
      </c>
      <c r="L172" s="39">
        <v>56</v>
      </c>
      <c r="M172" s="39">
        <v>55</v>
      </c>
      <c r="N172" s="39">
        <v>45</v>
      </c>
      <c r="O172" s="39">
        <v>34</v>
      </c>
      <c r="P172" s="39">
        <v>29</v>
      </c>
      <c r="Q172" s="39">
        <v>31</v>
      </c>
      <c r="R172" s="39">
        <v>45</v>
      </c>
      <c r="S172" s="39">
        <v>59</v>
      </c>
      <c r="T172" s="39">
        <v>66</v>
      </c>
      <c r="U172" s="39">
        <v>70</v>
      </c>
      <c r="V172" s="39">
        <v>71</v>
      </c>
      <c r="W172" s="39">
        <v>68</v>
      </c>
      <c r="X172" s="39">
        <v>52</v>
      </c>
      <c r="Y172" s="40">
        <v>39</v>
      </c>
      <c r="Z172" s="41">
        <f t="shared" si="12"/>
        <v>917</v>
      </c>
      <c r="AA172" s="42">
        <f t="shared" si="13"/>
        <v>38.208333333333336</v>
      </c>
    </row>
    <row r="173" spans="1:27" ht="14.1" customHeight="1" x14ac:dyDescent="0.2">
      <c r="A173" s="37">
        <v>16</v>
      </c>
      <c r="B173" s="38">
        <v>31</v>
      </c>
      <c r="C173" s="39">
        <v>24</v>
      </c>
      <c r="D173" s="39">
        <v>15</v>
      </c>
      <c r="E173" s="39">
        <v>6</v>
      </c>
      <c r="F173" s="39">
        <v>-3</v>
      </c>
      <c r="G173" s="39">
        <v>-4</v>
      </c>
      <c r="H173" s="39">
        <v>13</v>
      </c>
      <c r="I173" s="39">
        <v>33</v>
      </c>
      <c r="J173" s="39">
        <v>43</v>
      </c>
      <c r="K173" s="39">
        <v>50</v>
      </c>
      <c r="L173" s="39">
        <v>55</v>
      </c>
      <c r="M173" s="39">
        <v>57</v>
      </c>
      <c r="N173" s="39">
        <v>53</v>
      </c>
      <c r="O173" s="39">
        <v>42</v>
      </c>
      <c r="P173" s="39">
        <v>35</v>
      </c>
      <c r="Q173" s="39">
        <v>35</v>
      </c>
      <c r="R173" s="39">
        <v>45</v>
      </c>
      <c r="S173" s="39">
        <v>56</v>
      </c>
      <c r="T173" s="39">
        <v>64</v>
      </c>
      <c r="U173" s="39">
        <v>67</v>
      </c>
      <c r="V173" s="39">
        <v>68</v>
      </c>
      <c r="W173" s="39">
        <v>69</v>
      </c>
      <c r="X173" s="39">
        <v>60</v>
      </c>
      <c r="Y173" s="40">
        <v>44</v>
      </c>
      <c r="Z173" s="41">
        <f t="shared" si="12"/>
        <v>958</v>
      </c>
      <c r="AA173" s="42">
        <f t="shared" si="13"/>
        <v>39.916666666666664</v>
      </c>
    </row>
    <row r="174" spans="1:27" ht="14.1" customHeight="1" x14ac:dyDescent="0.2">
      <c r="A174" s="37">
        <v>17</v>
      </c>
      <c r="B174" s="38">
        <v>34</v>
      </c>
      <c r="C174" s="39">
        <v>27</v>
      </c>
      <c r="D174" s="39">
        <v>19</v>
      </c>
      <c r="E174" s="39">
        <v>10</v>
      </c>
      <c r="F174" s="39">
        <v>2</v>
      </c>
      <c r="G174" s="39">
        <v>-7</v>
      </c>
      <c r="H174" s="39">
        <v>-2</v>
      </c>
      <c r="I174" s="39">
        <v>17</v>
      </c>
      <c r="J174" s="39">
        <v>32</v>
      </c>
      <c r="K174" s="39">
        <v>40</v>
      </c>
      <c r="L174" s="39">
        <v>47</v>
      </c>
      <c r="M174" s="39">
        <v>50</v>
      </c>
      <c r="N174" s="39">
        <v>52</v>
      </c>
      <c r="O174" s="39">
        <v>51</v>
      </c>
      <c r="P174" s="39">
        <v>48</v>
      </c>
      <c r="Q174" s="39">
        <v>41</v>
      </c>
      <c r="R174" s="39">
        <v>39</v>
      </c>
      <c r="S174" s="39">
        <v>46</v>
      </c>
      <c r="T174" s="39">
        <v>57</v>
      </c>
      <c r="U174" s="39">
        <v>64</v>
      </c>
      <c r="V174" s="39">
        <v>68</v>
      </c>
      <c r="W174" s="39">
        <v>69</v>
      </c>
      <c r="X174" s="39">
        <v>63</v>
      </c>
      <c r="Y174" s="40">
        <v>49</v>
      </c>
      <c r="Z174" s="41">
        <f t="shared" si="12"/>
        <v>916</v>
      </c>
      <c r="AA174" s="42">
        <f t="shared" si="13"/>
        <v>38.166666666666664</v>
      </c>
    </row>
    <row r="175" spans="1:27" ht="14.1" customHeight="1" x14ac:dyDescent="0.2">
      <c r="A175" s="37">
        <v>18</v>
      </c>
      <c r="B175" s="38">
        <v>38</v>
      </c>
      <c r="C175" s="39">
        <v>30</v>
      </c>
      <c r="D175" s="39">
        <v>22</v>
      </c>
      <c r="E175" s="39">
        <v>14</v>
      </c>
      <c r="F175" s="39">
        <v>5</v>
      </c>
      <c r="G175" s="39">
        <v>-5</v>
      </c>
      <c r="H175" s="39">
        <v>-11</v>
      </c>
      <c r="I175" s="39">
        <v>-3</v>
      </c>
      <c r="J175" s="39">
        <v>17</v>
      </c>
      <c r="K175" s="39">
        <v>34</v>
      </c>
      <c r="L175" s="39">
        <v>41</v>
      </c>
      <c r="M175" s="39">
        <v>47</v>
      </c>
      <c r="N175" s="39">
        <v>51</v>
      </c>
      <c r="O175" s="39">
        <v>54</v>
      </c>
      <c r="P175" s="39">
        <v>53</v>
      </c>
      <c r="Q175" s="39">
        <v>49</v>
      </c>
      <c r="R175" s="39">
        <v>47</v>
      </c>
      <c r="S175" s="39">
        <v>51</v>
      </c>
      <c r="T175" s="39">
        <v>59</v>
      </c>
      <c r="U175" s="39">
        <v>65</v>
      </c>
      <c r="V175" s="39">
        <v>68</v>
      </c>
      <c r="W175" s="39">
        <v>70</v>
      </c>
      <c r="X175" s="39">
        <v>70</v>
      </c>
      <c r="Y175" s="40">
        <v>61</v>
      </c>
      <c r="Z175" s="41">
        <f t="shared" si="12"/>
        <v>927</v>
      </c>
      <c r="AA175" s="42">
        <f t="shared" si="13"/>
        <v>38.625</v>
      </c>
    </row>
    <row r="176" spans="1:27" ht="14.1" customHeight="1" x14ac:dyDescent="0.2">
      <c r="A176" s="37">
        <v>19</v>
      </c>
      <c r="B176" s="38">
        <v>47</v>
      </c>
      <c r="C176" s="39">
        <v>38</v>
      </c>
      <c r="D176" s="39">
        <v>30</v>
      </c>
      <c r="E176" s="39">
        <v>22</v>
      </c>
      <c r="F176" s="39">
        <v>14</v>
      </c>
      <c r="G176" s="39">
        <v>5</v>
      </c>
      <c r="H176" s="39">
        <v>-3</v>
      </c>
      <c r="I176" s="39">
        <v>-6</v>
      </c>
      <c r="J176" s="39">
        <v>3</v>
      </c>
      <c r="K176" s="39">
        <v>22</v>
      </c>
      <c r="L176" s="39">
        <v>36</v>
      </c>
      <c r="M176" s="39">
        <v>44</v>
      </c>
      <c r="N176" s="39">
        <v>49</v>
      </c>
      <c r="O176" s="39">
        <v>53</v>
      </c>
      <c r="P176" s="39">
        <v>57</v>
      </c>
      <c r="Q176" s="39">
        <v>57</v>
      </c>
      <c r="R176" s="39">
        <v>57</v>
      </c>
      <c r="S176" s="39">
        <v>56</v>
      </c>
      <c r="T176" s="39">
        <v>56</v>
      </c>
      <c r="U176" s="39">
        <v>58</v>
      </c>
      <c r="V176" s="39">
        <v>62</v>
      </c>
      <c r="W176" s="39">
        <v>66</v>
      </c>
      <c r="X176" s="39">
        <v>67</v>
      </c>
      <c r="Y176" s="40">
        <v>62</v>
      </c>
      <c r="Z176" s="41">
        <f t="shared" si="12"/>
        <v>952</v>
      </c>
      <c r="AA176" s="42">
        <f t="shared" si="13"/>
        <v>39.666666666666664</v>
      </c>
    </row>
    <row r="177" spans="1:27" ht="14.1" customHeight="1" x14ac:dyDescent="0.2">
      <c r="A177" s="37">
        <v>20</v>
      </c>
      <c r="B177" s="38">
        <v>51</v>
      </c>
      <c r="C177" s="39">
        <v>42</v>
      </c>
      <c r="D177" s="39">
        <v>34</v>
      </c>
      <c r="E177" s="39">
        <v>26</v>
      </c>
      <c r="F177" s="39">
        <v>18</v>
      </c>
      <c r="G177" s="39">
        <v>9</v>
      </c>
      <c r="H177" s="39">
        <v>0</v>
      </c>
      <c r="I177" s="39">
        <v>-8</v>
      </c>
      <c r="J177" s="39">
        <v>-9</v>
      </c>
      <c r="K177" s="39">
        <v>5</v>
      </c>
      <c r="L177" s="39">
        <v>24</v>
      </c>
      <c r="M177" s="39">
        <v>35</v>
      </c>
      <c r="N177" s="39">
        <v>43</v>
      </c>
      <c r="O177" s="39">
        <v>49</v>
      </c>
      <c r="P177" s="39">
        <v>54</v>
      </c>
      <c r="Q177" s="39">
        <v>56</v>
      </c>
      <c r="R177" s="39">
        <v>55</v>
      </c>
      <c r="S177" s="39">
        <v>51</v>
      </c>
      <c r="T177" s="39">
        <v>47</v>
      </c>
      <c r="U177" s="39">
        <v>44</v>
      </c>
      <c r="V177" s="39">
        <v>43</v>
      </c>
      <c r="W177" s="39">
        <v>44</v>
      </c>
      <c r="X177" s="39">
        <v>46</v>
      </c>
      <c r="Y177" s="40">
        <v>47</v>
      </c>
      <c r="Z177" s="41">
        <f t="shared" si="12"/>
        <v>806</v>
      </c>
      <c r="AA177" s="42">
        <f t="shared" si="13"/>
        <v>33.583333333333336</v>
      </c>
    </row>
    <row r="178" spans="1:27" ht="14.1" customHeight="1" x14ac:dyDescent="0.2">
      <c r="A178" s="37">
        <v>21</v>
      </c>
      <c r="B178" s="38">
        <v>44</v>
      </c>
      <c r="C178" s="39">
        <v>37</v>
      </c>
      <c r="D178" s="39">
        <v>28</v>
      </c>
      <c r="E178" s="39">
        <v>20</v>
      </c>
      <c r="F178" s="39">
        <v>12</v>
      </c>
      <c r="G178" s="39">
        <v>2</v>
      </c>
      <c r="H178" s="39">
        <v>-7</v>
      </c>
      <c r="I178" s="39">
        <v>-16</v>
      </c>
      <c r="J178" s="39">
        <v>-24</v>
      </c>
      <c r="K178" s="39">
        <v>-21</v>
      </c>
      <c r="L178" s="39">
        <v>-2</v>
      </c>
      <c r="M178" s="39">
        <v>15</v>
      </c>
      <c r="N178" s="39">
        <v>25</v>
      </c>
      <c r="O178" s="39">
        <v>32</v>
      </c>
      <c r="P178" s="39">
        <v>38</v>
      </c>
      <c r="Q178" s="39">
        <v>43</v>
      </c>
      <c r="R178" s="39">
        <v>47</v>
      </c>
      <c r="S178" s="39">
        <v>47</v>
      </c>
      <c r="T178" s="39">
        <v>42</v>
      </c>
      <c r="U178" s="39">
        <v>34</v>
      </c>
      <c r="V178" s="39">
        <v>27</v>
      </c>
      <c r="W178" s="39">
        <v>25</v>
      </c>
      <c r="X178" s="39">
        <v>24</v>
      </c>
      <c r="Y178" s="40">
        <v>26</v>
      </c>
      <c r="Z178" s="41">
        <f t="shared" si="12"/>
        <v>498</v>
      </c>
      <c r="AA178" s="42">
        <f t="shared" si="13"/>
        <v>20.75</v>
      </c>
    </row>
    <row r="179" spans="1:27" ht="14.1" customHeight="1" x14ac:dyDescent="0.2">
      <c r="A179" s="37">
        <v>22</v>
      </c>
      <c r="B179" s="38">
        <v>30</v>
      </c>
      <c r="C179" s="39">
        <v>32</v>
      </c>
      <c r="D179" s="39">
        <v>30</v>
      </c>
      <c r="E179" s="39">
        <v>22</v>
      </c>
      <c r="F179" s="39">
        <v>14</v>
      </c>
      <c r="G179" s="39">
        <v>5</v>
      </c>
      <c r="H179" s="39">
        <v>-4</v>
      </c>
      <c r="I179" s="39">
        <v>-12</v>
      </c>
      <c r="J179" s="39">
        <v>-21</v>
      </c>
      <c r="K179" s="39">
        <v>-27</v>
      </c>
      <c r="L179" s="39">
        <v>-24</v>
      </c>
      <c r="M179" s="39">
        <v>-4</v>
      </c>
      <c r="N179" s="39">
        <v>13</v>
      </c>
      <c r="O179" s="39">
        <v>23</v>
      </c>
      <c r="P179" s="39">
        <v>31</v>
      </c>
      <c r="Q179" s="39">
        <v>37</v>
      </c>
      <c r="R179" s="39">
        <v>42</v>
      </c>
      <c r="S179" s="39">
        <v>44</v>
      </c>
      <c r="T179" s="39">
        <v>40</v>
      </c>
      <c r="U179" s="39">
        <v>25</v>
      </c>
      <c r="V179" s="39">
        <v>14</v>
      </c>
      <c r="W179" s="39">
        <v>8</v>
      </c>
      <c r="X179" s="39">
        <v>4</v>
      </c>
      <c r="Y179" s="40">
        <v>4</v>
      </c>
      <c r="Z179" s="41">
        <f t="shared" si="12"/>
        <v>326</v>
      </c>
      <c r="AA179" s="42">
        <f t="shared" si="13"/>
        <v>13.583333333333334</v>
      </c>
    </row>
    <row r="180" spans="1:27" ht="14.1" customHeight="1" x14ac:dyDescent="0.2">
      <c r="A180" s="37">
        <v>23</v>
      </c>
      <c r="B180" s="38">
        <v>13</v>
      </c>
      <c r="C180" s="39">
        <v>26</v>
      </c>
      <c r="D180" s="39">
        <v>32</v>
      </c>
      <c r="E180" s="39">
        <v>30</v>
      </c>
      <c r="F180" s="39">
        <v>19</v>
      </c>
      <c r="G180" s="39">
        <v>8</v>
      </c>
      <c r="H180" s="39">
        <v>0</v>
      </c>
      <c r="I180" s="39">
        <v>-8</v>
      </c>
      <c r="J180" s="39">
        <v>-18</v>
      </c>
      <c r="K180" s="39">
        <v>-26</v>
      </c>
      <c r="L180" s="39">
        <v>-30</v>
      </c>
      <c r="M180" s="39">
        <v>-21</v>
      </c>
      <c r="N180" s="39">
        <v>2</v>
      </c>
      <c r="O180" s="39">
        <v>16</v>
      </c>
      <c r="P180" s="39">
        <v>24</v>
      </c>
      <c r="Q180" s="39">
        <v>32</v>
      </c>
      <c r="R180" s="39">
        <v>39</v>
      </c>
      <c r="S180" s="39">
        <v>43</v>
      </c>
      <c r="T180" s="39">
        <v>39</v>
      </c>
      <c r="U180" s="39">
        <v>24</v>
      </c>
      <c r="V180" s="39">
        <v>11</v>
      </c>
      <c r="W180" s="39">
        <v>3</v>
      </c>
      <c r="X180" s="39">
        <v>-4</v>
      </c>
      <c r="Y180" s="40">
        <v>-10</v>
      </c>
      <c r="Z180" s="41">
        <f t="shared" si="12"/>
        <v>244</v>
      </c>
      <c r="AA180" s="42">
        <f t="shared" si="13"/>
        <v>10.166666666666666</v>
      </c>
    </row>
    <row r="181" spans="1:27" ht="14.1" customHeight="1" x14ac:dyDescent="0.2">
      <c r="A181" s="43">
        <v>24</v>
      </c>
      <c r="B181" s="38">
        <v>-11</v>
      </c>
      <c r="C181" s="39">
        <v>0</v>
      </c>
      <c r="D181" s="39">
        <v>18</v>
      </c>
      <c r="E181" s="39">
        <v>28</v>
      </c>
      <c r="F181" s="39">
        <v>33</v>
      </c>
      <c r="G181" s="39">
        <v>34</v>
      </c>
      <c r="H181" s="39">
        <v>24</v>
      </c>
      <c r="I181" s="39">
        <v>8</v>
      </c>
      <c r="J181" s="39">
        <v>-1</v>
      </c>
      <c r="K181" s="39">
        <v>-8</v>
      </c>
      <c r="L181" s="39">
        <v>-15</v>
      </c>
      <c r="M181" s="39">
        <v>-19</v>
      </c>
      <c r="N181" s="39">
        <v>-9</v>
      </c>
      <c r="O181" s="39">
        <v>13</v>
      </c>
      <c r="P181" s="39">
        <v>32</v>
      </c>
      <c r="Q181" s="39">
        <v>40</v>
      </c>
      <c r="R181" s="39">
        <v>46</v>
      </c>
      <c r="S181" s="39">
        <v>50</v>
      </c>
      <c r="T181" s="39">
        <v>49</v>
      </c>
      <c r="U181" s="39">
        <v>34</v>
      </c>
      <c r="V181" s="39">
        <v>21</v>
      </c>
      <c r="W181" s="39">
        <v>14</v>
      </c>
      <c r="X181" s="39">
        <v>8</v>
      </c>
      <c r="Y181" s="40">
        <v>1</v>
      </c>
      <c r="Z181" s="41">
        <f t="shared" si="12"/>
        <v>390</v>
      </c>
      <c r="AA181" s="42">
        <f t="shared" si="13"/>
        <v>16.25</v>
      </c>
    </row>
    <row r="182" spans="1:27" ht="14.1" customHeight="1" x14ac:dyDescent="0.2">
      <c r="A182" s="37">
        <v>25</v>
      </c>
      <c r="B182" s="38">
        <v>-5</v>
      </c>
      <c r="C182" s="39">
        <v>-4</v>
      </c>
      <c r="D182" s="39">
        <v>12</v>
      </c>
      <c r="E182" s="39">
        <v>30</v>
      </c>
      <c r="F182" s="39">
        <v>40</v>
      </c>
      <c r="G182" s="39">
        <v>45</v>
      </c>
      <c r="H182" s="39">
        <v>48</v>
      </c>
      <c r="I182" s="39">
        <v>42</v>
      </c>
      <c r="J182" s="39">
        <v>28</v>
      </c>
      <c r="K182" s="39">
        <v>18</v>
      </c>
      <c r="L182" s="39">
        <v>12</v>
      </c>
      <c r="M182" s="39">
        <v>6</v>
      </c>
      <c r="N182" s="39">
        <v>7</v>
      </c>
      <c r="O182" s="39">
        <v>23</v>
      </c>
      <c r="P182" s="39">
        <v>41</v>
      </c>
      <c r="Q182" s="39">
        <v>50</v>
      </c>
      <c r="R182" s="39">
        <v>56</v>
      </c>
      <c r="S182" s="39">
        <v>60</v>
      </c>
      <c r="T182" s="39">
        <v>61</v>
      </c>
      <c r="U182" s="39">
        <v>51</v>
      </c>
      <c r="V182" s="39">
        <v>34</v>
      </c>
      <c r="W182" s="39">
        <v>23</v>
      </c>
      <c r="X182" s="39">
        <v>17</v>
      </c>
      <c r="Y182" s="40">
        <v>9</v>
      </c>
      <c r="Z182" s="41">
        <f t="shared" si="12"/>
        <v>704</v>
      </c>
      <c r="AA182" s="42">
        <f t="shared" si="13"/>
        <v>29.333333333333332</v>
      </c>
    </row>
    <row r="183" spans="1:27" ht="14.1" customHeight="1" x14ac:dyDescent="0.2">
      <c r="A183" s="37">
        <v>26</v>
      </c>
      <c r="B183" s="38">
        <v>1</v>
      </c>
      <c r="C183" s="39">
        <v>-6</v>
      </c>
      <c r="D183" s="39">
        <v>-6</v>
      </c>
      <c r="E183" s="39">
        <v>13</v>
      </c>
      <c r="F183" s="39">
        <v>33</v>
      </c>
      <c r="G183" s="39">
        <v>43</v>
      </c>
      <c r="H183" s="39">
        <v>49</v>
      </c>
      <c r="I183" s="39">
        <v>52</v>
      </c>
      <c r="J183" s="39">
        <v>49</v>
      </c>
      <c r="K183" s="39">
        <v>35</v>
      </c>
      <c r="L183" s="39">
        <v>25</v>
      </c>
      <c r="M183" s="39">
        <v>19</v>
      </c>
      <c r="N183" s="39">
        <v>15</v>
      </c>
      <c r="O183" s="39">
        <v>19</v>
      </c>
      <c r="P183" s="39">
        <v>41</v>
      </c>
      <c r="Q183" s="39">
        <v>55</v>
      </c>
      <c r="R183" s="39">
        <v>63</v>
      </c>
      <c r="S183" s="39">
        <v>68</v>
      </c>
      <c r="T183" s="39">
        <v>71</v>
      </c>
      <c r="U183" s="39">
        <v>68</v>
      </c>
      <c r="V183" s="39">
        <v>51</v>
      </c>
      <c r="W183" s="39">
        <v>35</v>
      </c>
      <c r="X183" s="39">
        <v>26</v>
      </c>
      <c r="Y183" s="40">
        <v>19</v>
      </c>
      <c r="Z183" s="41">
        <f t="shared" si="12"/>
        <v>838</v>
      </c>
      <c r="AA183" s="42">
        <f t="shared" si="13"/>
        <v>34.916666666666664</v>
      </c>
    </row>
    <row r="184" spans="1:27" ht="14.1" customHeight="1" x14ac:dyDescent="0.2">
      <c r="A184" s="37">
        <v>27</v>
      </c>
      <c r="B184" s="38">
        <v>10</v>
      </c>
      <c r="C184" s="39">
        <v>1</v>
      </c>
      <c r="D184" s="39">
        <v>-9</v>
      </c>
      <c r="E184" s="39">
        <v>-4</v>
      </c>
      <c r="F184" s="39">
        <v>21</v>
      </c>
      <c r="G184" s="39">
        <v>39</v>
      </c>
      <c r="H184" s="39">
        <v>49</v>
      </c>
      <c r="I184" s="39">
        <v>55</v>
      </c>
      <c r="J184" s="39">
        <v>59</v>
      </c>
      <c r="K184" s="39">
        <v>62</v>
      </c>
      <c r="L184" s="39">
        <v>53</v>
      </c>
      <c r="M184" s="39">
        <v>39</v>
      </c>
      <c r="N184" s="39">
        <v>30</v>
      </c>
      <c r="O184" s="39">
        <v>26</v>
      </c>
      <c r="P184" s="39">
        <v>30</v>
      </c>
      <c r="Q184" s="39">
        <v>49</v>
      </c>
      <c r="R184" s="39">
        <v>63</v>
      </c>
      <c r="S184" s="39">
        <v>69</v>
      </c>
      <c r="T184" s="39">
        <v>73</v>
      </c>
      <c r="U184" s="39">
        <v>76</v>
      </c>
      <c r="V184" s="39">
        <v>71</v>
      </c>
      <c r="W184" s="39">
        <v>56</v>
      </c>
      <c r="X184" s="39">
        <v>44</v>
      </c>
      <c r="Y184" s="40">
        <v>37</v>
      </c>
      <c r="Z184" s="41">
        <f t="shared" si="12"/>
        <v>999</v>
      </c>
      <c r="AA184" s="42">
        <f t="shared" si="13"/>
        <v>41.625</v>
      </c>
    </row>
    <row r="185" spans="1:27" ht="14.1" customHeight="1" x14ac:dyDescent="0.2">
      <c r="A185" s="37">
        <v>28</v>
      </c>
      <c r="B185" s="38">
        <v>30</v>
      </c>
      <c r="C185" s="39">
        <v>23</v>
      </c>
      <c r="D185" s="39">
        <v>15</v>
      </c>
      <c r="E185" s="39">
        <v>7</v>
      </c>
      <c r="F185" s="39">
        <v>14</v>
      </c>
      <c r="G185" s="39">
        <v>35</v>
      </c>
      <c r="H185" s="39">
        <v>54</v>
      </c>
      <c r="I185" s="39">
        <v>65</v>
      </c>
      <c r="J185" s="39">
        <v>71</v>
      </c>
      <c r="K185" s="39">
        <v>75</v>
      </c>
      <c r="L185" s="39">
        <v>75</v>
      </c>
      <c r="M185" s="39">
        <v>65</v>
      </c>
      <c r="N185" s="39">
        <v>52</v>
      </c>
      <c r="O185" s="39">
        <v>46</v>
      </c>
      <c r="P185" s="39">
        <v>43</v>
      </c>
      <c r="Q185" s="39">
        <v>49</v>
      </c>
      <c r="R185" s="39">
        <v>66</v>
      </c>
      <c r="S185" s="39">
        <v>78</v>
      </c>
      <c r="T185" s="39">
        <v>83</v>
      </c>
      <c r="U185" s="39">
        <v>84</v>
      </c>
      <c r="V185" s="39">
        <v>82</v>
      </c>
      <c r="W185" s="39">
        <v>68</v>
      </c>
      <c r="X185" s="39">
        <v>54</v>
      </c>
      <c r="Y185" s="40">
        <v>45</v>
      </c>
      <c r="Z185" s="41">
        <f t="shared" si="12"/>
        <v>1279</v>
      </c>
      <c r="AA185" s="42">
        <f t="shared" si="13"/>
        <v>53.291666666666664</v>
      </c>
    </row>
    <row r="186" spans="1:27" ht="14.1" customHeight="1" x14ac:dyDescent="0.2">
      <c r="A186" s="37">
        <v>29</v>
      </c>
      <c r="B186" s="38">
        <v>38</v>
      </c>
      <c r="C186" s="39">
        <v>31</v>
      </c>
      <c r="D186" s="39">
        <v>23</v>
      </c>
      <c r="E186" s="39">
        <v>15</v>
      </c>
      <c r="F186" s="39">
        <v>7</v>
      </c>
      <c r="G186" s="39">
        <v>15</v>
      </c>
      <c r="H186" s="39">
        <v>38</v>
      </c>
      <c r="I186" s="39">
        <v>55</v>
      </c>
      <c r="J186" s="39">
        <v>62</v>
      </c>
      <c r="K186" s="39">
        <v>68</v>
      </c>
      <c r="L186" s="39">
        <v>71</v>
      </c>
      <c r="M186" s="39">
        <v>71</v>
      </c>
      <c r="N186" s="39">
        <v>63</v>
      </c>
      <c r="O186" s="39">
        <v>53</v>
      </c>
      <c r="P186" s="39">
        <v>48</v>
      </c>
      <c r="Q186" s="39">
        <v>47</v>
      </c>
      <c r="R186" s="39">
        <v>57</v>
      </c>
      <c r="S186" s="39">
        <v>72</v>
      </c>
      <c r="T186" s="39">
        <v>81</v>
      </c>
      <c r="U186" s="39">
        <v>84</v>
      </c>
      <c r="V186" s="39">
        <v>89</v>
      </c>
      <c r="W186" s="39">
        <v>85</v>
      </c>
      <c r="X186" s="39">
        <v>70</v>
      </c>
      <c r="Y186" s="40">
        <v>58</v>
      </c>
      <c r="Z186" s="41">
        <f t="shared" si="12"/>
        <v>1301</v>
      </c>
      <c r="AA186" s="42">
        <f t="shared" si="13"/>
        <v>54.208333333333336</v>
      </c>
    </row>
    <row r="187" spans="1:27" ht="14.1" customHeight="1" x14ac:dyDescent="0.2">
      <c r="A187" s="37">
        <v>30</v>
      </c>
      <c r="B187" s="38">
        <v>51</v>
      </c>
      <c r="C187" s="39">
        <v>47</v>
      </c>
      <c r="D187" s="39">
        <v>41</v>
      </c>
      <c r="E187" s="39">
        <v>35</v>
      </c>
      <c r="F187" s="39">
        <v>30</v>
      </c>
      <c r="G187" s="39">
        <v>25</v>
      </c>
      <c r="H187" s="39">
        <v>31</v>
      </c>
      <c r="I187" s="39">
        <v>48</v>
      </c>
      <c r="J187" s="39">
        <v>64</v>
      </c>
      <c r="K187" s="39">
        <v>75</v>
      </c>
      <c r="L187" s="39">
        <v>81</v>
      </c>
      <c r="M187" s="39">
        <v>83</v>
      </c>
      <c r="N187" s="39">
        <v>81</v>
      </c>
      <c r="O187" s="39">
        <v>71</v>
      </c>
      <c r="P187" s="39">
        <v>62</v>
      </c>
      <c r="Q187" s="39">
        <v>59</v>
      </c>
      <c r="R187" s="39">
        <v>59</v>
      </c>
      <c r="S187" s="39">
        <v>65</v>
      </c>
      <c r="T187" s="39">
        <v>75</v>
      </c>
      <c r="U187" s="39">
        <v>82</v>
      </c>
      <c r="V187" s="39">
        <v>87</v>
      </c>
      <c r="W187" s="39">
        <v>87</v>
      </c>
      <c r="X187" s="39">
        <v>79</v>
      </c>
      <c r="Y187" s="40">
        <v>64</v>
      </c>
      <c r="Z187" s="41">
        <f t="shared" si="12"/>
        <v>1482</v>
      </c>
      <c r="AA187" s="42">
        <f t="shared" si="13"/>
        <v>61.75</v>
      </c>
    </row>
    <row r="188" spans="1:27" ht="14.1" customHeight="1" x14ac:dyDescent="0.2">
      <c r="A188" s="37">
        <v>31</v>
      </c>
      <c r="B188" s="44">
        <v>55</v>
      </c>
      <c r="C188" s="45">
        <v>48</v>
      </c>
      <c r="D188" s="45">
        <v>42</v>
      </c>
      <c r="E188" s="45">
        <v>36</v>
      </c>
      <c r="F188" s="45">
        <v>30</v>
      </c>
      <c r="G188" s="45">
        <v>23</v>
      </c>
      <c r="H188" s="45">
        <v>21</v>
      </c>
      <c r="I188" s="45">
        <v>28</v>
      </c>
      <c r="J188" s="45">
        <v>42</v>
      </c>
      <c r="K188" s="45">
        <v>58</v>
      </c>
      <c r="L188" s="45">
        <v>69</v>
      </c>
      <c r="M188" s="45">
        <v>75</v>
      </c>
      <c r="N188" s="45">
        <v>76</v>
      </c>
      <c r="O188" s="45">
        <v>72</v>
      </c>
      <c r="P188" s="45">
        <v>62</v>
      </c>
      <c r="Q188" s="45">
        <v>53</v>
      </c>
      <c r="R188" s="45">
        <v>50</v>
      </c>
      <c r="S188" s="45">
        <v>51</v>
      </c>
      <c r="T188" s="45">
        <v>56</v>
      </c>
      <c r="U188" s="45">
        <v>62</v>
      </c>
      <c r="V188" s="45">
        <v>67</v>
      </c>
      <c r="W188" s="45">
        <v>69</v>
      </c>
      <c r="X188" s="45">
        <v>65</v>
      </c>
      <c r="Y188" s="46">
        <v>54</v>
      </c>
      <c r="Z188" s="47">
        <f t="shared" si="12"/>
        <v>1264</v>
      </c>
      <c r="AA188" s="48">
        <f t="shared" si="13"/>
        <v>52.666666666666664</v>
      </c>
    </row>
    <row r="189" spans="1:27" ht="14.1" customHeight="1" x14ac:dyDescent="0.2">
      <c r="A189" s="27" t="s">
        <v>7</v>
      </c>
      <c r="B189" s="49">
        <f t="shared" ref="B189:Y189" si="14">SUM(B158:B188)</f>
        <v>736</v>
      </c>
      <c r="C189" s="49">
        <f t="shared" si="14"/>
        <v>585</v>
      </c>
      <c r="D189" s="49">
        <f t="shared" si="14"/>
        <v>492</v>
      </c>
      <c r="E189" s="49">
        <f t="shared" si="14"/>
        <v>451</v>
      </c>
      <c r="F189" s="49">
        <f t="shared" si="14"/>
        <v>447</v>
      </c>
      <c r="G189" s="49">
        <f t="shared" si="14"/>
        <v>466</v>
      </c>
      <c r="H189" s="49">
        <f t="shared" si="14"/>
        <v>533</v>
      </c>
      <c r="I189" s="49">
        <f t="shared" si="14"/>
        <v>611</v>
      </c>
      <c r="J189" s="49">
        <f t="shared" si="14"/>
        <v>654</v>
      </c>
      <c r="K189" s="49">
        <f t="shared" si="14"/>
        <v>717</v>
      </c>
      <c r="L189" s="49">
        <f t="shared" si="14"/>
        <v>778</v>
      </c>
      <c r="M189" s="49">
        <f t="shared" si="14"/>
        <v>837</v>
      </c>
      <c r="N189" s="49">
        <f t="shared" si="14"/>
        <v>909</v>
      </c>
      <c r="O189" s="49">
        <f t="shared" si="14"/>
        <v>989</v>
      </c>
      <c r="P189" s="49">
        <f t="shared" si="14"/>
        <v>1102</v>
      </c>
      <c r="Q189" s="50">
        <f t="shared" si="14"/>
        <v>1255</v>
      </c>
      <c r="R189" s="49">
        <f t="shared" si="14"/>
        <v>1455</v>
      </c>
      <c r="S189" s="49">
        <f t="shared" si="14"/>
        <v>1632</v>
      </c>
      <c r="T189" s="49">
        <f t="shared" si="14"/>
        <v>1737</v>
      </c>
      <c r="U189" s="49">
        <f t="shared" si="14"/>
        <v>1715</v>
      </c>
      <c r="V189" s="49">
        <f t="shared" si="14"/>
        <v>1586</v>
      </c>
      <c r="W189" s="49">
        <f t="shared" si="14"/>
        <v>1404</v>
      </c>
      <c r="X189" s="49">
        <f t="shared" si="14"/>
        <v>1195</v>
      </c>
      <c r="Y189" s="49">
        <f t="shared" si="14"/>
        <v>968</v>
      </c>
      <c r="Z189" s="51">
        <f>SUM(B158:Y188)</f>
        <v>23254</v>
      </c>
      <c r="AA189" s="52">
        <f>AVERAGE(B158:Y188)</f>
        <v>31.25537634408602</v>
      </c>
    </row>
    <row r="190" spans="1:27" ht="14.1" customHeight="1" x14ac:dyDescent="0.25">
      <c r="A190" s="53" t="s">
        <v>10</v>
      </c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 spans="1:27" ht="14.1" customHeight="1" x14ac:dyDescent="0.25">
      <c r="A191" s="55" t="str">
        <f>A153</f>
        <v>Trạm: Gò Dầu Hạ</v>
      </c>
      <c r="B191" s="2"/>
      <c r="C191" s="3"/>
      <c r="D191" s="4"/>
      <c r="E191" s="5"/>
      <c r="F191" s="5"/>
      <c r="G191" s="5"/>
      <c r="H191" s="5"/>
      <c r="I191" s="6"/>
      <c r="J191" s="4"/>
      <c r="K191" s="5"/>
      <c r="L191" s="5"/>
      <c r="M191" s="5"/>
      <c r="N191" s="5"/>
      <c r="O191" s="4"/>
      <c r="P191" s="6"/>
      <c r="Q191" s="4"/>
      <c r="R191" s="5"/>
      <c r="S191" s="5"/>
      <c r="T191" s="5"/>
      <c r="U191" s="5"/>
      <c r="V191" s="6"/>
      <c r="W191" s="4"/>
      <c r="X191" s="7"/>
      <c r="Y191" s="5"/>
      <c r="Z191" s="5"/>
      <c r="AA191" s="5"/>
    </row>
    <row r="192" spans="1:27" ht="14.1" customHeight="1" x14ac:dyDescent="0.25">
      <c r="A192" s="55" t="str">
        <f>A154</f>
        <v>Sông: Vàm Cỏ Đông</v>
      </c>
      <c r="B192" s="2"/>
      <c r="C192" s="2"/>
      <c r="D192" s="9"/>
      <c r="E192" s="10"/>
      <c r="F192" s="10"/>
      <c r="G192" s="10"/>
      <c r="H192" s="10"/>
      <c r="I192" s="11"/>
      <c r="J192" s="11"/>
      <c r="K192" s="5"/>
      <c r="L192" s="5"/>
      <c r="M192" s="12" t="s">
        <v>2</v>
      </c>
      <c r="N192" s="13"/>
      <c r="O192" s="13"/>
      <c r="P192" s="13"/>
      <c r="Q192" s="14"/>
      <c r="R192" s="14"/>
      <c r="S192" s="10"/>
      <c r="T192" s="10"/>
      <c r="U192" s="10"/>
      <c r="V192" s="11"/>
      <c r="W192" s="11"/>
      <c r="X192" s="7"/>
      <c r="Y192" s="5"/>
      <c r="Z192" s="5"/>
      <c r="AA192" s="5"/>
    </row>
    <row r="193" spans="1:27" ht="14.1" customHeight="1" x14ac:dyDescent="0.25">
      <c r="A193" s="56" t="s">
        <v>3</v>
      </c>
      <c r="B193" s="16">
        <f>B155+1</f>
        <v>6</v>
      </c>
      <c r="C193" s="16"/>
      <c r="D193" s="17"/>
      <c r="E193" s="9"/>
      <c r="F193" s="18"/>
      <c r="G193" s="10"/>
      <c r="H193" s="10"/>
      <c r="I193" s="10"/>
      <c r="J193" s="4"/>
      <c r="K193" s="5"/>
      <c r="L193" s="5"/>
      <c r="M193" s="19"/>
      <c r="N193" s="20" t="s">
        <v>4</v>
      </c>
      <c r="O193" s="22">
        <f>O155</f>
        <v>2025</v>
      </c>
      <c r="P193" s="22"/>
      <c r="Q193" s="13"/>
      <c r="R193" s="14"/>
      <c r="S193" s="18"/>
      <c r="T193" s="10"/>
      <c r="U193" s="10"/>
      <c r="V193" s="10"/>
      <c r="W193" s="4"/>
      <c r="X193" s="23" t="s">
        <v>5</v>
      </c>
      <c r="Y193" s="5"/>
      <c r="Z193" s="5"/>
      <c r="AA193" s="5"/>
    </row>
    <row r="194" spans="1:27" ht="14.1" customHeight="1" x14ac:dyDescent="0.2">
      <c r="A194" s="24" t="s">
        <v>6</v>
      </c>
      <c r="B194" s="25">
        <v>0</v>
      </c>
      <c r="C194" s="26">
        <v>1</v>
      </c>
      <c r="D194" s="25">
        <v>2</v>
      </c>
      <c r="E194" s="25">
        <v>3</v>
      </c>
      <c r="F194" s="26">
        <v>4</v>
      </c>
      <c r="G194" s="25">
        <v>5</v>
      </c>
      <c r="H194" s="25">
        <v>6</v>
      </c>
      <c r="I194" s="26">
        <v>7</v>
      </c>
      <c r="J194" s="25">
        <v>8</v>
      </c>
      <c r="K194" s="25">
        <v>9</v>
      </c>
      <c r="L194" s="25">
        <v>10</v>
      </c>
      <c r="M194" s="25">
        <v>11</v>
      </c>
      <c r="N194" s="25">
        <v>12</v>
      </c>
      <c r="O194" s="25">
        <v>13</v>
      </c>
      <c r="P194" s="26">
        <v>14</v>
      </c>
      <c r="Q194" s="25">
        <v>15</v>
      </c>
      <c r="R194" s="26">
        <v>16</v>
      </c>
      <c r="S194" s="25">
        <v>17</v>
      </c>
      <c r="T194" s="26">
        <v>18</v>
      </c>
      <c r="U194" s="25">
        <v>19</v>
      </c>
      <c r="V194" s="26">
        <v>20</v>
      </c>
      <c r="W194" s="25">
        <v>21</v>
      </c>
      <c r="X194" s="26">
        <v>22</v>
      </c>
      <c r="Y194" s="25">
        <v>23</v>
      </c>
      <c r="Z194" s="27" t="s">
        <v>7</v>
      </c>
      <c r="AA194" s="27" t="s">
        <v>8</v>
      </c>
    </row>
    <row r="195" spans="1:27" ht="14.1" customHeight="1" x14ac:dyDescent="0.2">
      <c r="A195" s="28" t="s">
        <v>9</v>
      </c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30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 spans="1:27" ht="14.1" customHeight="1" x14ac:dyDescent="0.2">
      <c r="A196" s="31">
        <v>1</v>
      </c>
      <c r="B196" s="32">
        <v>44</v>
      </c>
      <c r="C196" s="33">
        <v>37</v>
      </c>
      <c r="D196" s="33">
        <v>31</v>
      </c>
      <c r="E196" s="33">
        <v>24</v>
      </c>
      <c r="F196" s="33">
        <v>18</v>
      </c>
      <c r="G196" s="33">
        <v>11</v>
      </c>
      <c r="H196" s="33">
        <v>6</v>
      </c>
      <c r="I196" s="33">
        <v>9</v>
      </c>
      <c r="J196" s="33">
        <v>21</v>
      </c>
      <c r="K196" s="33">
        <v>40</v>
      </c>
      <c r="L196" s="33">
        <v>54</v>
      </c>
      <c r="M196" s="33">
        <v>61</v>
      </c>
      <c r="N196" s="33">
        <v>65</v>
      </c>
      <c r="O196" s="33">
        <v>67</v>
      </c>
      <c r="P196" s="33">
        <v>63</v>
      </c>
      <c r="Q196" s="33">
        <v>54</v>
      </c>
      <c r="R196" s="33">
        <v>48</v>
      </c>
      <c r="S196" s="33">
        <v>46</v>
      </c>
      <c r="T196" s="33">
        <v>49</v>
      </c>
      <c r="U196" s="33">
        <v>53</v>
      </c>
      <c r="V196" s="33">
        <v>60</v>
      </c>
      <c r="W196" s="33">
        <v>64</v>
      </c>
      <c r="X196" s="33">
        <v>64</v>
      </c>
      <c r="Y196" s="34">
        <v>57</v>
      </c>
      <c r="Z196" s="35">
        <f t="shared" ref="Z196:Z226" si="15">SUM(B196:Y196)</f>
        <v>1046</v>
      </c>
      <c r="AA196" s="36">
        <f t="shared" ref="AA196:AA226" si="16">AVERAGE(B196:Y196)</f>
        <v>43.583333333333336</v>
      </c>
    </row>
    <row r="197" spans="1:27" ht="14.1" customHeight="1" x14ac:dyDescent="0.2">
      <c r="A197" s="37">
        <v>2</v>
      </c>
      <c r="B197" s="38">
        <v>47</v>
      </c>
      <c r="C197" s="39">
        <v>39</v>
      </c>
      <c r="D197" s="39">
        <v>32</v>
      </c>
      <c r="E197" s="39">
        <v>24</v>
      </c>
      <c r="F197" s="39">
        <v>17</v>
      </c>
      <c r="G197" s="39">
        <v>10</v>
      </c>
      <c r="H197" s="39">
        <v>2</v>
      </c>
      <c r="I197" s="39">
        <v>-3</v>
      </c>
      <c r="J197" s="39">
        <v>0</v>
      </c>
      <c r="K197" s="39">
        <v>17</v>
      </c>
      <c r="L197" s="39">
        <v>36</v>
      </c>
      <c r="M197" s="39">
        <v>48</v>
      </c>
      <c r="N197" s="39">
        <v>55</v>
      </c>
      <c r="O197" s="39">
        <v>58</v>
      </c>
      <c r="P197" s="39">
        <v>58</v>
      </c>
      <c r="Q197" s="39">
        <v>54</v>
      </c>
      <c r="R197" s="39">
        <v>47</v>
      </c>
      <c r="S197" s="39">
        <v>42</v>
      </c>
      <c r="T197" s="39">
        <v>39</v>
      </c>
      <c r="U197" s="39">
        <v>37</v>
      </c>
      <c r="V197" s="39">
        <v>35</v>
      </c>
      <c r="W197" s="39">
        <v>33</v>
      </c>
      <c r="X197" s="39">
        <v>35</v>
      </c>
      <c r="Y197" s="40">
        <v>38</v>
      </c>
      <c r="Z197" s="41">
        <f t="shared" si="15"/>
        <v>800</v>
      </c>
      <c r="AA197" s="42">
        <f t="shared" si="16"/>
        <v>33.333333333333336</v>
      </c>
    </row>
    <row r="198" spans="1:27" ht="14.1" customHeight="1" x14ac:dyDescent="0.2">
      <c r="A198" s="37">
        <v>3</v>
      </c>
      <c r="B198" s="38">
        <v>37</v>
      </c>
      <c r="C198" s="39">
        <v>29</v>
      </c>
      <c r="D198" s="39">
        <v>20</v>
      </c>
      <c r="E198" s="39">
        <v>12</v>
      </c>
      <c r="F198" s="39">
        <v>4</v>
      </c>
      <c r="G198" s="39">
        <v>-5</v>
      </c>
      <c r="H198" s="39">
        <v>-14</v>
      </c>
      <c r="I198" s="39">
        <v>-23</v>
      </c>
      <c r="J198" s="39">
        <v>-30</v>
      </c>
      <c r="K198" s="39">
        <v>-20</v>
      </c>
      <c r="L198" s="39">
        <v>3</v>
      </c>
      <c r="M198" s="39">
        <v>18</v>
      </c>
      <c r="N198" s="39">
        <v>28</v>
      </c>
      <c r="O198" s="39">
        <v>34</v>
      </c>
      <c r="P198" s="39">
        <v>39</v>
      </c>
      <c r="Q198" s="39">
        <v>41</v>
      </c>
      <c r="R198" s="39">
        <v>38</v>
      </c>
      <c r="S198" s="39">
        <v>28</v>
      </c>
      <c r="T198" s="39">
        <v>20</v>
      </c>
      <c r="U198" s="39">
        <v>14</v>
      </c>
      <c r="V198" s="39">
        <v>10</v>
      </c>
      <c r="W198" s="39">
        <v>9</v>
      </c>
      <c r="X198" s="39">
        <v>8</v>
      </c>
      <c r="Y198" s="40">
        <v>10</v>
      </c>
      <c r="Z198" s="41">
        <f t="shared" si="15"/>
        <v>310</v>
      </c>
      <c r="AA198" s="42">
        <f t="shared" si="16"/>
        <v>12.916666666666666</v>
      </c>
    </row>
    <row r="199" spans="1:27" ht="14.1" customHeight="1" x14ac:dyDescent="0.2">
      <c r="A199" s="37">
        <v>4</v>
      </c>
      <c r="B199" s="38">
        <v>15</v>
      </c>
      <c r="C199" s="39">
        <v>23</v>
      </c>
      <c r="D199" s="39">
        <v>21</v>
      </c>
      <c r="E199" s="39">
        <v>7</v>
      </c>
      <c r="F199" s="39">
        <v>-4</v>
      </c>
      <c r="G199" s="39">
        <v>-13</v>
      </c>
      <c r="H199" s="39">
        <v>-22</v>
      </c>
      <c r="I199" s="39">
        <v>-30</v>
      </c>
      <c r="J199" s="39">
        <v>-37</v>
      </c>
      <c r="K199" s="39">
        <v>-37</v>
      </c>
      <c r="L199" s="39">
        <v>-22</v>
      </c>
      <c r="M199" s="39">
        <v>-2</v>
      </c>
      <c r="N199" s="39">
        <v>11</v>
      </c>
      <c r="O199" s="39">
        <v>19</v>
      </c>
      <c r="P199" s="39">
        <v>26</v>
      </c>
      <c r="Q199" s="39">
        <v>32</v>
      </c>
      <c r="R199" s="39">
        <v>36</v>
      </c>
      <c r="S199" s="39">
        <v>36</v>
      </c>
      <c r="T199" s="39">
        <v>27</v>
      </c>
      <c r="U199" s="39">
        <v>15</v>
      </c>
      <c r="V199" s="39">
        <v>7</v>
      </c>
      <c r="W199" s="39">
        <v>1</v>
      </c>
      <c r="X199" s="39">
        <v>-4</v>
      </c>
      <c r="Y199" s="40">
        <v>-6</v>
      </c>
      <c r="Z199" s="41">
        <f t="shared" si="15"/>
        <v>99</v>
      </c>
      <c r="AA199" s="42">
        <f t="shared" si="16"/>
        <v>4.125</v>
      </c>
    </row>
    <row r="200" spans="1:27" ht="14.1" customHeight="1" x14ac:dyDescent="0.2">
      <c r="A200" s="37">
        <v>5</v>
      </c>
      <c r="B200" s="38">
        <v>-2</v>
      </c>
      <c r="C200" s="39">
        <v>6</v>
      </c>
      <c r="D200" s="39">
        <v>12</v>
      </c>
      <c r="E200" s="39">
        <v>11</v>
      </c>
      <c r="F200" s="39">
        <v>1</v>
      </c>
      <c r="G200" s="39">
        <v>-8</v>
      </c>
      <c r="H200" s="39">
        <v>-16</v>
      </c>
      <c r="I200" s="39">
        <v>-25</v>
      </c>
      <c r="J200" s="39">
        <v>-33</v>
      </c>
      <c r="K200" s="39">
        <v>-38</v>
      </c>
      <c r="L200" s="39">
        <v>-35</v>
      </c>
      <c r="M200" s="39">
        <v>-13</v>
      </c>
      <c r="N200" s="39">
        <v>4</v>
      </c>
      <c r="O200" s="39">
        <v>14</v>
      </c>
      <c r="P200" s="39">
        <v>23</v>
      </c>
      <c r="Q200" s="39">
        <v>29</v>
      </c>
      <c r="R200" s="39">
        <v>33</v>
      </c>
      <c r="S200" s="39">
        <v>33</v>
      </c>
      <c r="T200" s="39">
        <v>21</v>
      </c>
      <c r="U200" s="39">
        <v>8</v>
      </c>
      <c r="V200" s="39">
        <v>-1</v>
      </c>
      <c r="W200" s="39">
        <v>-7</v>
      </c>
      <c r="X200" s="39">
        <v>-13</v>
      </c>
      <c r="Y200" s="40">
        <v>-19</v>
      </c>
      <c r="Z200" s="41">
        <f t="shared" si="15"/>
        <v>-15</v>
      </c>
      <c r="AA200" s="42">
        <f t="shared" si="16"/>
        <v>-0.625</v>
      </c>
    </row>
    <row r="201" spans="1:27" ht="14.1" customHeight="1" x14ac:dyDescent="0.2">
      <c r="A201" s="37">
        <v>6</v>
      </c>
      <c r="B201" s="38">
        <v>-21</v>
      </c>
      <c r="C201" s="39">
        <v>-17</v>
      </c>
      <c r="D201" s="39">
        <v>-3</v>
      </c>
      <c r="E201" s="39">
        <v>7</v>
      </c>
      <c r="F201" s="39">
        <v>9</v>
      </c>
      <c r="G201" s="39">
        <v>5</v>
      </c>
      <c r="H201" s="39">
        <v>-8</v>
      </c>
      <c r="I201" s="39">
        <v>-19</v>
      </c>
      <c r="J201" s="39">
        <v>-27</v>
      </c>
      <c r="K201" s="39">
        <v>-33</v>
      </c>
      <c r="L201" s="39">
        <v>-33</v>
      </c>
      <c r="M201" s="39">
        <v>-20</v>
      </c>
      <c r="N201" s="39">
        <v>-1</v>
      </c>
      <c r="O201" s="39">
        <v>11</v>
      </c>
      <c r="P201" s="39">
        <v>19</v>
      </c>
      <c r="Q201" s="39">
        <v>25</v>
      </c>
      <c r="R201" s="39">
        <v>28</v>
      </c>
      <c r="S201" s="39">
        <v>27</v>
      </c>
      <c r="T201" s="39">
        <v>14</v>
      </c>
      <c r="U201" s="39">
        <v>4</v>
      </c>
      <c r="V201" s="39">
        <v>-5</v>
      </c>
      <c r="W201" s="39">
        <v>-12</v>
      </c>
      <c r="X201" s="39">
        <v>-20</v>
      </c>
      <c r="Y201" s="40">
        <v>-28</v>
      </c>
      <c r="Z201" s="41">
        <f t="shared" si="15"/>
        <v>-98</v>
      </c>
      <c r="AA201" s="42">
        <f t="shared" si="16"/>
        <v>-4.083333333333333</v>
      </c>
    </row>
    <row r="202" spans="1:27" ht="14.1" customHeight="1" x14ac:dyDescent="0.2">
      <c r="A202" s="37">
        <v>7</v>
      </c>
      <c r="B202" s="38">
        <v>-31</v>
      </c>
      <c r="C202" s="39">
        <v>-22</v>
      </c>
      <c r="D202" s="39">
        <v>-6</v>
      </c>
      <c r="E202" s="39">
        <v>6</v>
      </c>
      <c r="F202" s="39">
        <v>13</v>
      </c>
      <c r="G202" s="39">
        <v>17</v>
      </c>
      <c r="H202" s="39">
        <v>15</v>
      </c>
      <c r="I202" s="39">
        <v>4</v>
      </c>
      <c r="J202" s="39">
        <v>-7</v>
      </c>
      <c r="K202" s="39">
        <v>-13</v>
      </c>
      <c r="L202" s="39">
        <v>-16</v>
      </c>
      <c r="M202" s="39">
        <v>-16</v>
      </c>
      <c r="N202" s="39">
        <v>-6</v>
      </c>
      <c r="O202" s="39">
        <v>10</v>
      </c>
      <c r="P202" s="39">
        <v>22</v>
      </c>
      <c r="Q202" s="39">
        <v>29</v>
      </c>
      <c r="R202" s="39">
        <v>34</v>
      </c>
      <c r="S202" s="39">
        <v>36</v>
      </c>
      <c r="T202" s="39">
        <v>30</v>
      </c>
      <c r="U202" s="39">
        <v>14</v>
      </c>
      <c r="V202" s="39">
        <v>-1</v>
      </c>
      <c r="W202" s="39">
        <v>-10</v>
      </c>
      <c r="X202" s="39">
        <v>-18</v>
      </c>
      <c r="Y202" s="40">
        <v>-27</v>
      </c>
      <c r="Z202" s="41">
        <f t="shared" si="15"/>
        <v>57</v>
      </c>
      <c r="AA202" s="42">
        <f t="shared" si="16"/>
        <v>2.375</v>
      </c>
    </row>
    <row r="203" spans="1:27" ht="14.1" customHeight="1" x14ac:dyDescent="0.2">
      <c r="A203" s="37">
        <v>8</v>
      </c>
      <c r="B203" s="38">
        <v>-35</v>
      </c>
      <c r="C203" s="39">
        <v>-36</v>
      </c>
      <c r="D203" s="39">
        <v>-23</v>
      </c>
      <c r="E203" s="39">
        <v>-4</v>
      </c>
      <c r="F203" s="39">
        <v>7</v>
      </c>
      <c r="G203" s="39">
        <v>15</v>
      </c>
      <c r="H203" s="39">
        <v>19</v>
      </c>
      <c r="I203" s="39">
        <v>19</v>
      </c>
      <c r="J203" s="39">
        <v>11</v>
      </c>
      <c r="K203" s="39">
        <v>-1</v>
      </c>
      <c r="L203" s="39">
        <v>-8</v>
      </c>
      <c r="M203" s="39">
        <v>-11</v>
      </c>
      <c r="N203" s="39">
        <v>-10</v>
      </c>
      <c r="O203" s="39">
        <v>-3</v>
      </c>
      <c r="P203" s="39">
        <v>10</v>
      </c>
      <c r="Q203" s="39">
        <v>21</v>
      </c>
      <c r="R203" s="39">
        <v>28</v>
      </c>
      <c r="S203" s="39">
        <v>30</v>
      </c>
      <c r="T203" s="39">
        <v>26</v>
      </c>
      <c r="U203" s="39">
        <v>9</v>
      </c>
      <c r="V203" s="39">
        <v>-6</v>
      </c>
      <c r="W203" s="39">
        <v>-16</v>
      </c>
      <c r="X203" s="39">
        <v>-25</v>
      </c>
      <c r="Y203" s="40">
        <v>-34</v>
      </c>
      <c r="Z203" s="41">
        <f t="shared" si="15"/>
        <v>-17</v>
      </c>
      <c r="AA203" s="42">
        <f t="shared" si="16"/>
        <v>-0.70833333333333337</v>
      </c>
    </row>
    <row r="204" spans="1:27" ht="14.1" customHeight="1" x14ac:dyDescent="0.2">
      <c r="A204" s="37">
        <v>9</v>
      </c>
      <c r="B204" s="38">
        <v>-44</v>
      </c>
      <c r="C204" s="39">
        <v>-52</v>
      </c>
      <c r="D204" s="39">
        <v>-50</v>
      </c>
      <c r="E204" s="39">
        <v>-28</v>
      </c>
      <c r="F204" s="39">
        <v>-9</v>
      </c>
      <c r="G204" s="39">
        <v>1</v>
      </c>
      <c r="H204" s="39">
        <v>8</v>
      </c>
      <c r="I204" s="39">
        <v>13</v>
      </c>
      <c r="J204" s="39">
        <v>18</v>
      </c>
      <c r="K204" s="39">
        <v>14</v>
      </c>
      <c r="L204" s="39">
        <v>1</v>
      </c>
      <c r="M204" s="39">
        <v>-5</v>
      </c>
      <c r="N204" s="39">
        <v>-6</v>
      </c>
      <c r="O204" s="39">
        <v>-1</v>
      </c>
      <c r="P204" s="39">
        <v>10</v>
      </c>
      <c r="Q204" s="39">
        <v>23</v>
      </c>
      <c r="R204" s="39">
        <v>32</v>
      </c>
      <c r="S204" s="39">
        <v>37</v>
      </c>
      <c r="T204" s="39">
        <v>39</v>
      </c>
      <c r="U204" s="39">
        <v>36</v>
      </c>
      <c r="V204" s="39">
        <v>20</v>
      </c>
      <c r="W204" s="39">
        <v>9</v>
      </c>
      <c r="X204" s="39">
        <v>0</v>
      </c>
      <c r="Y204" s="40">
        <v>-10</v>
      </c>
      <c r="Z204" s="41">
        <f t="shared" si="15"/>
        <v>56</v>
      </c>
      <c r="AA204" s="42">
        <f t="shared" si="16"/>
        <v>2.3333333333333335</v>
      </c>
    </row>
    <row r="205" spans="1:27" ht="14.1" customHeight="1" x14ac:dyDescent="0.2">
      <c r="A205" s="37">
        <v>10</v>
      </c>
      <c r="B205" s="38">
        <v>-20</v>
      </c>
      <c r="C205" s="39">
        <v>-31</v>
      </c>
      <c r="D205" s="39">
        <v>-35</v>
      </c>
      <c r="E205" s="39">
        <v>-19</v>
      </c>
      <c r="F205" s="39">
        <v>4</v>
      </c>
      <c r="G205" s="39">
        <v>16</v>
      </c>
      <c r="H205" s="39">
        <v>25</v>
      </c>
      <c r="I205" s="39">
        <v>32</v>
      </c>
      <c r="J205" s="39">
        <v>36</v>
      </c>
      <c r="K205" s="39">
        <v>35</v>
      </c>
      <c r="L205" s="39">
        <v>26</v>
      </c>
      <c r="M205" s="39">
        <v>18</v>
      </c>
      <c r="N205" s="39">
        <v>17</v>
      </c>
      <c r="O205" s="39">
        <v>18</v>
      </c>
      <c r="P205" s="39">
        <v>25</v>
      </c>
      <c r="Q205" s="39">
        <v>36</v>
      </c>
      <c r="R205" s="39">
        <v>45</v>
      </c>
      <c r="S205" s="39">
        <v>51</v>
      </c>
      <c r="T205" s="39">
        <v>54</v>
      </c>
      <c r="U205" s="39">
        <v>48</v>
      </c>
      <c r="V205" s="39">
        <v>33</v>
      </c>
      <c r="W205" s="39">
        <v>24</v>
      </c>
      <c r="X205" s="39">
        <v>18</v>
      </c>
      <c r="Y205" s="40">
        <v>11</v>
      </c>
      <c r="Z205" s="41">
        <f t="shared" si="15"/>
        <v>467</v>
      </c>
      <c r="AA205" s="42">
        <f t="shared" si="16"/>
        <v>19.458333333333332</v>
      </c>
    </row>
    <row r="206" spans="1:27" ht="14.1" customHeight="1" x14ac:dyDescent="0.2">
      <c r="A206" s="37">
        <v>11</v>
      </c>
      <c r="B206" s="38">
        <v>4</v>
      </c>
      <c r="C206" s="39">
        <v>-5</v>
      </c>
      <c r="D206" s="39">
        <v>-13</v>
      </c>
      <c r="E206" s="39">
        <v>-11</v>
      </c>
      <c r="F206" s="39">
        <v>10</v>
      </c>
      <c r="G206" s="39">
        <v>31</v>
      </c>
      <c r="H206" s="39">
        <v>41</v>
      </c>
      <c r="I206" s="39">
        <v>48</v>
      </c>
      <c r="J206" s="39">
        <v>53</v>
      </c>
      <c r="K206" s="39">
        <v>54</v>
      </c>
      <c r="L206" s="39">
        <v>47</v>
      </c>
      <c r="M206" s="39">
        <v>37</v>
      </c>
      <c r="N206" s="39">
        <v>28</v>
      </c>
      <c r="O206" s="39">
        <v>25</v>
      </c>
      <c r="P206" s="39">
        <v>25</v>
      </c>
      <c r="Q206" s="39">
        <v>32</v>
      </c>
      <c r="R206" s="39">
        <v>44</v>
      </c>
      <c r="S206" s="39">
        <v>50</v>
      </c>
      <c r="T206" s="39">
        <v>52</v>
      </c>
      <c r="U206" s="39">
        <v>44</v>
      </c>
      <c r="V206" s="39">
        <v>29</v>
      </c>
      <c r="W206" s="39">
        <v>18</v>
      </c>
      <c r="X206" s="39">
        <v>10</v>
      </c>
      <c r="Y206" s="40">
        <v>1</v>
      </c>
      <c r="Z206" s="41">
        <f t="shared" si="15"/>
        <v>654</v>
      </c>
      <c r="AA206" s="42">
        <f t="shared" si="16"/>
        <v>27.25</v>
      </c>
    </row>
    <row r="207" spans="1:27" ht="14.1" customHeight="1" x14ac:dyDescent="0.2">
      <c r="A207" s="37">
        <v>12</v>
      </c>
      <c r="B207" s="38">
        <v>-9</v>
      </c>
      <c r="C207" s="39">
        <v>-18</v>
      </c>
      <c r="D207" s="39">
        <v>-29</v>
      </c>
      <c r="E207" s="39">
        <v>-38</v>
      </c>
      <c r="F207" s="39">
        <v>-31</v>
      </c>
      <c r="G207" s="39">
        <v>-6</v>
      </c>
      <c r="H207" s="39">
        <v>12</v>
      </c>
      <c r="I207" s="39">
        <v>22</v>
      </c>
      <c r="J207" s="39">
        <v>29</v>
      </c>
      <c r="K207" s="39">
        <v>35</v>
      </c>
      <c r="L207" s="39">
        <v>38</v>
      </c>
      <c r="M207" s="39">
        <v>35</v>
      </c>
      <c r="N207" s="39">
        <v>24</v>
      </c>
      <c r="O207" s="39">
        <v>17</v>
      </c>
      <c r="P207" s="39">
        <v>18</v>
      </c>
      <c r="Q207" s="39">
        <v>24</v>
      </c>
      <c r="R207" s="39">
        <v>35</v>
      </c>
      <c r="S207" s="39">
        <v>42</v>
      </c>
      <c r="T207" s="39">
        <v>47</v>
      </c>
      <c r="U207" s="39">
        <v>49</v>
      </c>
      <c r="V207" s="39">
        <v>43</v>
      </c>
      <c r="W207" s="39">
        <v>26</v>
      </c>
      <c r="X207" s="39">
        <v>14</v>
      </c>
      <c r="Y207" s="40">
        <v>5</v>
      </c>
      <c r="Z207" s="41">
        <f t="shared" si="15"/>
        <v>384</v>
      </c>
      <c r="AA207" s="42">
        <f t="shared" si="16"/>
        <v>16</v>
      </c>
    </row>
    <row r="208" spans="1:27" ht="14.1" customHeight="1" x14ac:dyDescent="0.2">
      <c r="A208" s="37">
        <v>13</v>
      </c>
      <c r="B208" s="38">
        <v>-4</v>
      </c>
      <c r="C208" s="39">
        <v>-14</v>
      </c>
      <c r="D208" s="39">
        <v>-23</v>
      </c>
      <c r="E208" s="39">
        <v>-35</v>
      </c>
      <c r="F208" s="39">
        <v>-39</v>
      </c>
      <c r="G208" s="39">
        <v>-23</v>
      </c>
      <c r="H208" s="39">
        <v>1</v>
      </c>
      <c r="I208" s="39">
        <v>14</v>
      </c>
      <c r="J208" s="39">
        <v>22</v>
      </c>
      <c r="K208" s="39">
        <v>29</v>
      </c>
      <c r="L208" s="39">
        <v>33</v>
      </c>
      <c r="M208" s="39">
        <v>33</v>
      </c>
      <c r="N208" s="39">
        <v>29</v>
      </c>
      <c r="O208" s="39">
        <v>20</v>
      </c>
      <c r="P208" s="39">
        <v>19</v>
      </c>
      <c r="Q208" s="39">
        <v>23</v>
      </c>
      <c r="R208" s="39">
        <v>35</v>
      </c>
      <c r="S208" s="39">
        <v>44</v>
      </c>
      <c r="T208" s="39">
        <v>51</v>
      </c>
      <c r="U208" s="39">
        <v>53</v>
      </c>
      <c r="V208" s="39">
        <v>53</v>
      </c>
      <c r="W208" s="39">
        <v>43</v>
      </c>
      <c r="X208" s="39">
        <v>28</v>
      </c>
      <c r="Y208" s="40">
        <v>18</v>
      </c>
      <c r="Z208" s="41">
        <f t="shared" si="15"/>
        <v>410</v>
      </c>
      <c r="AA208" s="42">
        <f t="shared" si="16"/>
        <v>17.083333333333332</v>
      </c>
    </row>
    <row r="209" spans="1:27" ht="14.1" customHeight="1" x14ac:dyDescent="0.2">
      <c r="A209" s="37">
        <v>14</v>
      </c>
      <c r="B209" s="38">
        <v>10</v>
      </c>
      <c r="C209" s="39">
        <v>1</v>
      </c>
      <c r="D209" s="39">
        <v>-8</v>
      </c>
      <c r="E209" s="39">
        <v>-19</v>
      </c>
      <c r="F209" s="39">
        <v>-29</v>
      </c>
      <c r="G209" s="39">
        <v>-27</v>
      </c>
      <c r="H209" s="39">
        <v>-5</v>
      </c>
      <c r="I209" s="39">
        <v>14</v>
      </c>
      <c r="J209" s="39">
        <v>27</v>
      </c>
      <c r="K209" s="39">
        <v>35</v>
      </c>
      <c r="L209" s="39">
        <v>41</v>
      </c>
      <c r="M209" s="39">
        <v>44</v>
      </c>
      <c r="N209" s="39">
        <v>43</v>
      </c>
      <c r="O209" s="39">
        <v>34</v>
      </c>
      <c r="P209" s="39">
        <v>24</v>
      </c>
      <c r="Q209" s="39">
        <v>24</v>
      </c>
      <c r="R209" s="39">
        <v>32</v>
      </c>
      <c r="S209" s="39">
        <v>45</v>
      </c>
      <c r="T209" s="39">
        <v>55</v>
      </c>
      <c r="U209" s="39">
        <v>61</v>
      </c>
      <c r="V209" s="39">
        <v>63</v>
      </c>
      <c r="W209" s="39">
        <v>62</v>
      </c>
      <c r="X209" s="39">
        <v>50</v>
      </c>
      <c r="Y209" s="40">
        <v>35</v>
      </c>
      <c r="Z209" s="41">
        <f t="shared" si="15"/>
        <v>612</v>
      </c>
      <c r="AA209" s="42">
        <f t="shared" si="16"/>
        <v>25.5</v>
      </c>
    </row>
    <row r="210" spans="1:27" ht="14.1" customHeight="1" x14ac:dyDescent="0.2">
      <c r="A210" s="37">
        <v>15</v>
      </c>
      <c r="B210" s="38">
        <v>27</v>
      </c>
      <c r="C210" s="39">
        <v>20</v>
      </c>
      <c r="D210" s="39">
        <v>11</v>
      </c>
      <c r="E210" s="39">
        <v>2</v>
      </c>
      <c r="F210" s="39">
        <v>-7</v>
      </c>
      <c r="G210" s="39">
        <v>-16</v>
      </c>
      <c r="H210" s="39">
        <v>-10</v>
      </c>
      <c r="I210" s="39">
        <v>12</v>
      </c>
      <c r="J210" s="39">
        <v>28</v>
      </c>
      <c r="K210" s="39">
        <v>38</v>
      </c>
      <c r="L210" s="39">
        <v>45</v>
      </c>
      <c r="M210" s="39">
        <v>49</v>
      </c>
      <c r="N210" s="39">
        <v>50</v>
      </c>
      <c r="O210" s="39">
        <v>44</v>
      </c>
      <c r="P210" s="39">
        <v>34</v>
      </c>
      <c r="Q210" s="39">
        <v>29</v>
      </c>
      <c r="R210" s="39">
        <v>29</v>
      </c>
      <c r="S210" s="39">
        <v>35</v>
      </c>
      <c r="T210" s="39">
        <v>46</v>
      </c>
      <c r="U210" s="39">
        <v>55</v>
      </c>
      <c r="V210" s="39">
        <v>61</v>
      </c>
      <c r="W210" s="39">
        <v>62</v>
      </c>
      <c r="X210" s="39">
        <v>55</v>
      </c>
      <c r="Y210" s="40">
        <v>41</v>
      </c>
      <c r="Z210" s="41">
        <f t="shared" si="15"/>
        <v>740</v>
      </c>
      <c r="AA210" s="42">
        <f t="shared" si="16"/>
        <v>30.833333333333332</v>
      </c>
    </row>
    <row r="211" spans="1:27" ht="14.1" customHeight="1" x14ac:dyDescent="0.2">
      <c r="A211" s="37">
        <v>16</v>
      </c>
      <c r="B211" s="38">
        <v>29</v>
      </c>
      <c r="C211" s="39">
        <v>22</v>
      </c>
      <c r="D211" s="39">
        <v>13</v>
      </c>
      <c r="E211" s="39">
        <v>3</v>
      </c>
      <c r="F211" s="39">
        <v>-7</v>
      </c>
      <c r="G211" s="39">
        <v>-17</v>
      </c>
      <c r="H211" s="39">
        <v>-22</v>
      </c>
      <c r="I211" s="39">
        <v>-11</v>
      </c>
      <c r="J211" s="39">
        <v>9</v>
      </c>
      <c r="K211" s="39">
        <v>24</v>
      </c>
      <c r="L211" s="39">
        <v>33</v>
      </c>
      <c r="M211" s="39">
        <v>39</v>
      </c>
      <c r="N211" s="39">
        <v>43</v>
      </c>
      <c r="O211" s="39">
        <v>44</v>
      </c>
      <c r="P211" s="39">
        <v>37</v>
      </c>
      <c r="Q211" s="39">
        <v>27</v>
      </c>
      <c r="R211" s="39">
        <v>21</v>
      </c>
      <c r="S211" s="39">
        <v>22</v>
      </c>
      <c r="T211" s="39">
        <v>30</v>
      </c>
      <c r="U211" s="39">
        <v>42</v>
      </c>
      <c r="V211" s="39">
        <v>50</v>
      </c>
      <c r="W211" s="39">
        <v>54</v>
      </c>
      <c r="X211" s="39">
        <v>55</v>
      </c>
      <c r="Y211" s="40">
        <v>46</v>
      </c>
      <c r="Z211" s="41">
        <f t="shared" si="15"/>
        <v>586</v>
      </c>
      <c r="AA211" s="42">
        <f t="shared" si="16"/>
        <v>24.416666666666668</v>
      </c>
    </row>
    <row r="212" spans="1:27" ht="14.1" customHeight="1" x14ac:dyDescent="0.2">
      <c r="A212" s="37">
        <v>17</v>
      </c>
      <c r="B212" s="38">
        <v>30</v>
      </c>
      <c r="C212" s="39">
        <v>22</v>
      </c>
      <c r="D212" s="39">
        <v>16</v>
      </c>
      <c r="E212" s="39">
        <v>9</v>
      </c>
      <c r="F212" s="39">
        <v>1</v>
      </c>
      <c r="G212" s="39">
        <v>-7</v>
      </c>
      <c r="H212" s="39">
        <v>-15</v>
      </c>
      <c r="I212" s="39">
        <v>-11</v>
      </c>
      <c r="J212" s="39">
        <v>9</v>
      </c>
      <c r="K212" s="39">
        <v>27</v>
      </c>
      <c r="L212" s="39">
        <v>37</v>
      </c>
      <c r="M212" s="39">
        <v>44</v>
      </c>
      <c r="N212" s="39">
        <v>49</v>
      </c>
      <c r="O212" s="39">
        <v>51</v>
      </c>
      <c r="P212" s="39">
        <v>47</v>
      </c>
      <c r="Q212" s="39">
        <v>36</v>
      </c>
      <c r="R212" s="39">
        <v>29</v>
      </c>
      <c r="S212" s="39">
        <v>27</v>
      </c>
      <c r="T212" s="39">
        <v>29</v>
      </c>
      <c r="U212" s="39">
        <v>36</v>
      </c>
      <c r="V212" s="39">
        <v>48</v>
      </c>
      <c r="W212" s="39">
        <v>55</v>
      </c>
      <c r="X212" s="39">
        <v>58</v>
      </c>
      <c r="Y212" s="40">
        <v>57</v>
      </c>
      <c r="Z212" s="41">
        <f t="shared" si="15"/>
        <v>684</v>
      </c>
      <c r="AA212" s="42">
        <f t="shared" si="16"/>
        <v>28.5</v>
      </c>
    </row>
    <row r="213" spans="1:27" ht="14.1" customHeight="1" x14ac:dyDescent="0.2">
      <c r="A213" s="37">
        <v>18</v>
      </c>
      <c r="B213" s="38">
        <v>44</v>
      </c>
      <c r="C213" s="39">
        <v>32</v>
      </c>
      <c r="D213" s="39">
        <v>23</v>
      </c>
      <c r="E213" s="39">
        <v>16</v>
      </c>
      <c r="F213" s="39">
        <v>7</v>
      </c>
      <c r="G213" s="39">
        <v>-1</v>
      </c>
      <c r="H213" s="39">
        <v>-11</v>
      </c>
      <c r="I213" s="39">
        <v>-16</v>
      </c>
      <c r="J213" s="39">
        <v>-9</v>
      </c>
      <c r="K213" s="39">
        <v>13</v>
      </c>
      <c r="L213" s="39">
        <v>28</v>
      </c>
      <c r="M213" s="39">
        <v>37</v>
      </c>
      <c r="N213" s="39">
        <v>44</v>
      </c>
      <c r="O213" s="39">
        <v>49</v>
      </c>
      <c r="P213" s="39">
        <v>51</v>
      </c>
      <c r="Q213" s="39">
        <v>46</v>
      </c>
      <c r="R213" s="39">
        <v>35</v>
      </c>
      <c r="S213" s="39">
        <v>26</v>
      </c>
      <c r="T213" s="39">
        <v>22</v>
      </c>
      <c r="U213" s="39">
        <v>19</v>
      </c>
      <c r="V213" s="39">
        <v>19</v>
      </c>
      <c r="W213" s="39">
        <v>27</v>
      </c>
      <c r="X213" s="39">
        <v>40</v>
      </c>
      <c r="Y213" s="40">
        <v>47</v>
      </c>
      <c r="Z213" s="41">
        <f t="shared" si="15"/>
        <v>588</v>
      </c>
      <c r="AA213" s="42">
        <f t="shared" si="16"/>
        <v>24.5</v>
      </c>
    </row>
    <row r="214" spans="1:27" ht="14.1" customHeight="1" x14ac:dyDescent="0.2">
      <c r="A214" s="37">
        <v>19</v>
      </c>
      <c r="B214" s="38">
        <v>48</v>
      </c>
      <c r="C214" s="39">
        <v>37</v>
      </c>
      <c r="D214" s="39">
        <v>23</v>
      </c>
      <c r="E214" s="39">
        <v>14</v>
      </c>
      <c r="F214" s="39">
        <v>5</v>
      </c>
      <c r="G214" s="39">
        <v>-4</v>
      </c>
      <c r="H214" s="39">
        <v>-13</v>
      </c>
      <c r="I214" s="39">
        <v>-21</v>
      </c>
      <c r="J214" s="39">
        <v>-23</v>
      </c>
      <c r="K214" s="39">
        <v>-4</v>
      </c>
      <c r="L214" s="39">
        <v>17</v>
      </c>
      <c r="M214" s="39">
        <v>28</v>
      </c>
      <c r="N214" s="39">
        <v>35</v>
      </c>
      <c r="O214" s="39">
        <v>41</v>
      </c>
      <c r="P214" s="39">
        <v>45</v>
      </c>
      <c r="Q214" s="39">
        <v>44</v>
      </c>
      <c r="R214" s="39">
        <v>31</v>
      </c>
      <c r="S214" s="39">
        <v>19</v>
      </c>
      <c r="T214" s="39">
        <v>12</v>
      </c>
      <c r="U214" s="39">
        <v>6</v>
      </c>
      <c r="V214" s="39">
        <v>2</v>
      </c>
      <c r="W214" s="39">
        <v>2</v>
      </c>
      <c r="X214" s="39">
        <v>11</v>
      </c>
      <c r="Y214" s="40">
        <v>23</v>
      </c>
      <c r="Z214" s="41">
        <f t="shared" si="15"/>
        <v>378</v>
      </c>
      <c r="AA214" s="42">
        <f t="shared" si="16"/>
        <v>15.75</v>
      </c>
    </row>
    <row r="215" spans="1:27" ht="14.1" customHeight="1" x14ac:dyDescent="0.2">
      <c r="A215" s="37">
        <v>20</v>
      </c>
      <c r="B215" s="38">
        <v>30</v>
      </c>
      <c r="C215" s="39">
        <v>31</v>
      </c>
      <c r="D215" s="39">
        <v>26</v>
      </c>
      <c r="E215" s="39">
        <v>12</v>
      </c>
      <c r="F215" s="39">
        <v>1</v>
      </c>
      <c r="G215" s="39">
        <v>-8</v>
      </c>
      <c r="H215" s="39">
        <v>-17</v>
      </c>
      <c r="I215" s="39">
        <v>-25</v>
      </c>
      <c r="J215" s="39">
        <v>-32</v>
      </c>
      <c r="K215" s="39">
        <v>-30</v>
      </c>
      <c r="L215" s="39">
        <v>-9</v>
      </c>
      <c r="M215" s="39">
        <v>9</v>
      </c>
      <c r="N215" s="39">
        <v>20</v>
      </c>
      <c r="O215" s="39">
        <v>28</v>
      </c>
      <c r="P215" s="39">
        <v>35</v>
      </c>
      <c r="Q215" s="39">
        <v>40</v>
      </c>
      <c r="R215" s="39">
        <v>39</v>
      </c>
      <c r="S215" s="39">
        <v>27</v>
      </c>
      <c r="T215" s="39">
        <v>14</v>
      </c>
      <c r="U215" s="39">
        <v>6</v>
      </c>
      <c r="V215" s="39">
        <v>-1</v>
      </c>
      <c r="W215" s="39">
        <v>-7</v>
      </c>
      <c r="X215" s="39">
        <v>-12</v>
      </c>
      <c r="Y215" s="40">
        <v>-9</v>
      </c>
      <c r="Z215" s="41">
        <f t="shared" si="15"/>
        <v>168</v>
      </c>
      <c r="AA215" s="42">
        <f t="shared" si="16"/>
        <v>7</v>
      </c>
    </row>
    <row r="216" spans="1:27" ht="14.1" customHeight="1" x14ac:dyDescent="0.2">
      <c r="A216" s="37">
        <v>21</v>
      </c>
      <c r="B216" s="38">
        <v>4</v>
      </c>
      <c r="C216" s="39">
        <v>19</v>
      </c>
      <c r="D216" s="39">
        <v>27</v>
      </c>
      <c r="E216" s="39">
        <v>28</v>
      </c>
      <c r="F216" s="39">
        <v>20</v>
      </c>
      <c r="G216" s="39">
        <v>7</v>
      </c>
      <c r="H216" s="39">
        <v>-2</v>
      </c>
      <c r="I216" s="39">
        <v>-8</v>
      </c>
      <c r="J216" s="39">
        <v>-15</v>
      </c>
      <c r="K216" s="39">
        <v>-20</v>
      </c>
      <c r="L216" s="39">
        <v>-18</v>
      </c>
      <c r="M216" s="39">
        <v>0</v>
      </c>
      <c r="N216" s="39">
        <v>19</v>
      </c>
      <c r="O216" s="39">
        <v>29</v>
      </c>
      <c r="P216" s="39">
        <v>36</v>
      </c>
      <c r="Q216" s="39">
        <v>41</v>
      </c>
      <c r="R216" s="39">
        <v>44</v>
      </c>
      <c r="S216" s="39">
        <v>37</v>
      </c>
      <c r="T216" s="39">
        <v>21</v>
      </c>
      <c r="U216" s="39">
        <v>10</v>
      </c>
      <c r="V216" s="39">
        <v>2</v>
      </c>
      <c r="W216" s="39">
        <v>-6</v>
      </c>
      <c r="X216" s="39">
        <v>-15</v>
      </c>
      <c r="Y216" s="40">
        <v>-22</v>
      </c>
      <c r="Z216" s="41">
        <f t="shared" si="15"/>
        <v>238</v>
      </c>
      <c r="AA216" s="42">
        <f t="shared" si="16"/>
        <v>9.9166666666666661</v>
      </c>
    </row>
    <row r="217" spans="1:27" ht="14.1" customHeight="1" x14ac:dyDescent="0.2">
      <c r="A217" s="37">
        <v>22</v>
      </c>
      <c r="B217" s="38">
        <v>-17</v>
      </c>
      <c r="C217" s="39">
        <v>1</v>
      </c>
      <c r="D217" s="39">
        <v>16</v>
      </c>
      <c r="E217" s="39">
        <v>24</v>
      </c>
      <c r="F217" s="39">
        <v>28</v>
      </c>
      <c r="G217" s="39">
        <v>29</v>
      </c>
      <c r="H217" s="39">
        <v>20</v>
      </c>
      <c r="I217" s="39">
        <v>7</v>
      </c>
      <c r="J217" s="39">
        <v>-2</v>
      </c>
      <c r="K217" s="39">
        <v>-7</v>
      </c>
      <c r="L217" s="39">
        <v>-10</v>
      </c>
      <c r="M217" s="39">
        <v>-5</v>
      </c>
      <c r="N217" s="39">
        <v>13</v>
      </c>
      <c r="O217" s="39">
        <v>28</v>
      </c>
      <c r="P217" s="39">
        <v>36</v>
      </c>
      <c r="Q217" s="39">
        <v>40</v>
      </c>
      <c r="R217" s="39">
        <v>42</v>
      </c>
      <c r="S217" s="39">
        <v>37</v>
      </c>
      <c r="T217" s="39">
        <v>20</v>
      </c>
      <c r="U217" s="39">
        <v>8</v>
      </c>
      <c r="V217" s="39">
        <v>-1</v>
      </c>
      <c r="W217" s="39">
        <v>-10</v>
      </c>
      <c r="X217" s="39">
        <v>-20</v>
      </c>
      <c r="Y217" s="40">
        <v>-30</v>
      </c>
      <c r="Z217" s="41">
        <f t="shared" si="15"/>
        <v>247</v>
      </c>
      <c r="AA217" s="42">
        <f t="shared" si="16"/>
        <v>10.291666666666666</v>
      </c>
    </row>
    <row r="218" spans="1:27" ht="14.1" customHeight="1" x14ac:dyDescent="0.2">
      <c r="A218" s="37">
        <v>23</v>
      </c>
      <c r="B218" s="38">
        <v>-38</v>
      </c>
      <c r="C218" s="39">
        <v>-38</v>
      </c>
      <c r="D218" s="39">
        <v>-14</v>
      </c>
      <c r="E218" s="39">
        <v>5</v>
      </c>
      <c r="F218" s="39">
        <v>15</v>
      </c>
      <c r="G218" s="39">
        <v>22</v>
      </c>
      <c r="H218" s="39">
        <v>26</v>
      </c>
      <c r="I218" s="39">
        <v>26</v>
      </c>
      <c r="J218" s="39">
        <v>20</v>
      </c>
      <c r="K218" s="39">
        <v>9</v>
      </c>
      <c r="L218" s="39">
        <v>2</v>
      </c>
      <c r="M218" s="39">
        <v>0</v>
      </c>
      <c r="N218" s="39">
        <v>4</v>
      </c>
      <c r="O218" s="39">
        <v>19</v>
      </c>
      <c r="P218" s="39">
        <v>33</v>
      </c>
      <c r="Q218" s="39">
        <v>40</v>
      </c>
      <c r="R218" s="39">
        <v>44</v>
      </c>
      <c r="S218" s="39">
        <v>44</v>
      </c>
      <c r="T218" s="39">
        <v>37</v>
      </c>
      <c r="U218" s="39">
        <v>19</v>
      </c>
      <c r="V218" s="39">
        <v>7</v>
      </c>
      <c r="W218" s="39">
        <v>-2</v>
      </c>
      <c r="X218" s="39">
        <v>-11</v>
      </c>
      <c r="Y218" s="40">
        <v>-21</v>
      </c>
      <c r="Z218" s="41">
        <f t="shared" si="15"/>
        <v>248</v>
      </c>
      <c r="AA218" s="42">
        <f t="shared" si="16"/>
        <v>10.333333333333334</v>
      </c>
    </row>
    <row r="219" spans="1:27" ht="14.1" customHeight="1" x14ac:dyDescent="0.2">
      <c r="A219" s="43">
        <v>24</v>
      </c>
      <c r="B219" s="38">
        <v>-32</v>
      </c>
      <c r="C219" s="39">
        <v>-41</v>
      </c>
      <c r="D219" s="39">
        <v>-33</v>
      </c>
      <c r="E219" s="39">
        <v>-8</v>
      </c>
      <c r="F219" s="39">
        <v>8</v>
      </c>
      <c r="G219" s="39">
        <v>18</v>
      </c>
      <c r="H219" s="39">
        <v>25</v>
      </c>
      <c r="I219" s="39">
        <v>30</v>
      </c>
      <c r="J219" s="39">
        <v>33</v>
      </c>
      <c r="K219" s="39">
        <v>30</v>
      </c>
      <c r="L219" s="39">
        <v>20</v>
      </c>
      <c r="M219" s="39">
        <v>13</v>
      </c>
      <c r="N219" s="39">
        <v>13</v>
      </c>
      <c r="O219" s="39">
        <v>20</v>
      </c>
      <c r="P219" s="39">
        <v>34</v>
      </c>
      <c r="Q219" s="39">
        <v>42</v>
      </c>
      <c r="R219" s="39">
        <v>47</v>
      </c>
      <c r="S219" s="39">
        <v>49</v>
      </c>
      <c r="T219" s="39">
        <v>48</v>
      </c>
      <c r="U219" s="39">
        <v>40</v>
      </c>
      <c r="V219" s="39">
        <v>22</v>
      </c>
      <c r="W219" s="39">
        <v>12</v>
      </c>
      <c r="X219" s="39">
        <v>4</v>
      </c>
      <c r="Y219" s="40">
        <v>-5</v>
      </c>
      <c r="Z219" s="41">
        <f t="shared" si="15"/>
        <v>389</v>
      </c>
      <c r="AA219" s="42">
        <f t="shared" si="16"/>
        <v>16.208333333333332</v>
      </c>
    </row>
    <row r="220" spans="1:27" ht="14.1" customHeight="1" x14ac:dyDescent="0.2">
      <c r="A220" s="37">
        <v>25</v>
      </c>
      <c r="B220" s="38">
        <v>-16</v>
      </c>
      <c r="C220" s="39">
        <v>-27</v>
      </c>
      <c r="D220" s="39">
        <v>-38</v>
      </c>
      <c r="E220" s="39">
        <v>-34</v>
      </c>
      <c r="F220" s="39">
        <v>-9</v>
      </c>
      <c r="G220" s="39">
        <v>10</v>
      </c>
      <c r="H220" s="39">
        <v>20</v>
      </c>
      <c r="I220" s="39">
        <v>28</v>
      </c>
      <c r="J220" s="39">
        <v>34</v>
      </c>
      <c r="K220" s="39">
        <v>37</v>
      </c>
      <c r="L220" s="39">
        <v>36</v>
      </c>
      <c r="M220" s="39">
        <v>28</v>
      </c>
      <c r="N220" s="39">
        <v>22</v>
      </c>
      <c r="O220" s="39">
        <v>23</v>
      </c>
      <c r="P220" s="39">
        <v>33</v>
      </c>
      <c r="Q220" s="39">
        <v>44</v>
      </c>
      <c r="R220" s="39">
        <v>51</v>
      </c>
      <c r="S220" s="39">
        <v>55</v>
      </c>
      <c r="T220" s="39">
        <v>56</v>
      </c>
      <c r="U220" s="39">
        <v>54</v>
      </c>
      <c r="V220" s="39">
        <v>39</v>
      </c>
      <c r="W220" s="39">
        <v>24</v>
      </c>
      <c r="X220" s="39">
        <v>16</v>
      </c>
      <c r="Y220" s="40">
        <v>8</v>
      </c>
      <c r="Z220" s="41">
        <f t="shared" si="15"/>
        <v>494</v>
      </c>
      <c r="AA220" s="42">
        <f t="shared" si="16"/>
        <v>20.583333333333332</v>
      </c>
    </row>
    <row r="221" spans="1:27" ht="14.1" customHeight="1" x14ac:dyDescent="0.2">
      <c r="A221" s="37">
        <v>26</v>
      </c>
      <c r="B221" s="38">
        <v>-2</v>
      </c>
      <c r="C221" s="39">
        <v>-12</v>
      </c>
      <c r="D221" s="39">
        <v>-23</v>
      </c>
      <c r="E221" s="39">
        <v>-33</v>
      </c>
      <c r="F221" s="39">
        <v>-24</v>
      </c>
      <c r="G221" s="39">
        <v>0</v>
      </c>
      <c r="H221" s="39">
        <v>18</v>
      </c>
      <c r="I221" s="39">
        <v>27</v>
      </c>
      <c r="J221" s="39">
        <v>33</v>
      </c>
      <c r="K221" s="39">
        <v>38</v>
      </c>
      <c r="L221" s="39">
        <v>40</v>
      </c>
      <c r="M221" s="39">
        <v>38</v>
      </c>
      <c r="N221" s="39">
        <v>31</v>
      </c>
      <c r="O221" s="39">
        <v>26</v>
      </c>
      <c r="P221" s="39">
        <v>28</v>
      </c>
      <c r="Q221" s="39">
        <v>38</v>
      </c>
      <c r="R221" s="39">
        <v>51</v>
      </c>
      <c r="S221" s="39">
        <v>58</v>
      </c>
      <c r="T221" s="39">
        <v>62</v>
      </c>
      <c r="U221" s="39">
        <v>63</v>
      </c>
      <c r="V221" s="39">
        <v>58</v>
      </c>
      <c r="W221" s="39">
        <v>44</v>
      </c>
      <c r="X221" s="39">
        <v>31</v>
      </c>
      <c r="Y221" s="40">
        <v>24</v>
      </c>
      <c r="Z221" s="41">
        <f t="shared" si="15"/>
        <v>614</v>
      </c>
      <c r="AA221" s="42">
        <f t="shared" si="16"/>
        <v>25.583333333333332</v>
      </c>
    </row>
    <row r="222" spans="1:27" ht="14.1" customHeight="1" x14ac:dyDescent="0.2">
      <c r="A222" s="37">
        <v>27</v>
      </c>
      <c r="B222" s="38">
        <v>17</v>
      </c>
      <c r="C222" s="39">
        <v>10</v>
      </c>
      <c r="D222" s="39">
        <v>2</v>
      </c>
      <c r="E222" s="39">
        <v>-8</v>
      </c>
      <c r="F222" s="39">
        <v>-15</v>
      </c>
      <c r="G222" s="39">
        <v>-6</v>
      </c>
      <c r="H222" s="39">
        <v>16</v>
      </c>
      <c r="I222" s="39">
        <v>33</v>
      </c>
      <c r="J222" s="39">
        <v>40</v>
      </c>
      <c r="K222" s="39">
        <v>46</v>
      </c>
      <c r="L222" s="39">
        <v>49</v>
      </c>
      <c r="M222" s="39">
        <v>49</v>
      </c>
      <c r="N222" s="39">
        <v>41</v>
      </c>
      <c r="O222" s="39">
        <v>31</v>
      </c>
      <c r="P222" s="39">
        <v>28</v>
      </c>
      <c r="Q222" s="39">
        <v>33</v>
      </c>
      <c r="R222" s="39">
        <v>47</v>
      </c>
      <c r="S222" s="39">
        <v>58</v>
      </c>
      <c r="T222" s="39">
        <v>63</v>
      </c>
      <c r="U222" s="39">
        <v>66</v>
      </c>
      <c r="V222" s="39">
        <v>66</v>
      </c>
      <c r="W222" s="39">
        <v>56</v>
      </c>
      <c r="X222" s="39">
        <v>40</v>
      </c>
      <c r="Y222" s="40">
        <v>31</v>
      </c>
      <c r="Z222" s="41">
        <f t="shared" si="15"/>
        <v>793</v>
      </c>
      <c r="AA222" s="42">
        <f t="shared" si="16"/>
        <v>33.041666666666664</v>
      </c>
    </row>
    <row r="223" spans="1:27" ht="14.1" customHeight="1" x14ac:dyDescent="0.2">
      <c r="A223" s="37">
        <v>28</v>
      </c>
      <c r="B223" s="38">
        <v>24</v>
      </c>
      <c r="C223" s="39">
        <v>17</v>
      </c>
      <c r="D223" s="39">
        <v>10</v>
      </c>
      <c r="E223" s="39">
        <v>1</v>
      </c>
      <c r="F223" s="39">
        <v>-8</v>
      </c>
      <c r="G223" s="39">
        <v>-12</v>
      </c>
      <c r="H223" s="39">
        <v>3</v>
      </c>
      <c r="I223" s="39">
        <v>23</v>
      </c>
      <c r="J223" s="39">
        <v>40</v>
      </c>
      <c r="K223" s="39">
        <v>48</v>
      </c>
      <c r="L223" s="39">
        <v>53</v>
      </c>
      <c r="M223" s="39">
        <v>56</v>
      </c>
      <c r="N223" s="39">
        <v>55</v>
      </c>
      <c r="O223" s="39">
        <v>45</v>
      </c>
      <c r="P223" s="39">
        <v>35</v>
      </c>
      <c r="Q223" s="39">
        <v>33</v>
      </c>
      <c r="R223" s="39">
        <v>37</v>
      </c>
      <c r="S223" s="39">
        <v>46</v>
      </c>
      <c r="T223" s="39">
        <v>57</v>
      </c>
      <c r="U223" s="39">
        <v>65</v>
      </c>
      <c r="V223" s="39">
        <v>68</v>
      </c>
      <c r="W223" s="39">
        <v>68</v>
      </c>
      <c r="X223" s="39">
        <v>56</v>
      </c>
      <c r="Y223" s="40">
        <v>41</v>
      </c>
      <c r="Z223" s="41">
        <f t="shared" si="15"/>
        <v>861</v>
      </c>
      <c r="AA223" s="42">
        <f t="shared" si="16"/>
        <v>35.875</v>
      </c>
    </row>
    <row r="224" spans="1:27" ht="14.1" customHeight="1" x14ac:dyDescent="0.2">
      <c r="A224" s="37">
        <v>29</v>
      </c>
      <c r="B224" s="38">
        <v>33</v>
      </c>
      <c r="C224" s="39">
        <v>26</v>
      </c>
      <c r="D224" s="39">
        <v>19</v>
      </c>
      <c r="E224" s="39">
        <v>11</v>
      </c>
      <c r="F224" s="39">
        <v>3</v>
      </c>
      <c r="G224" s="39">
        <v>-6</v>
      </c>
      <c r="H224" s="39">
        <v>-3</v>
      </c>
      <c r="I224" s="39">
        <v>15</v>
      </c>
      <c r="J224" s="39">
        <v>33</v>
      </c>
      <c r="K224" s="39">
        <v>43</v>
      </c>
      <c r="L224" s="39">
        <v>50</v>
      </c>
      <c r="M224" s="39">
        <v>54</v>
      </c>
      <c r="N224" s="39">
        <v>56</v>
      </c>
      <c r="O224" s="39">
        <v>48</v>
      </c>
      <c r="P224" s="39">
        <v>36</v>
      </c>
      <c r="Q224" s="39">
        <v>29</v>
      </c>
      <c r="R224" s="39">
        <v>28</v>
      </c>
      <c r="S224" s="39">
        <v>33</v>
      </c>
      <c r="T224" s="39">
        <v>43</v>
      </c>
      <c r="U224" s="39">
        <v>53</v>
      </c>
      <c r="V224" s="39">
        <v>59</v>
      </c>
      <c r="W224" s="39">
        <v>61</v>
      </c>
      <c r="X224" s="39">
        <v>59</v>
      </c>
      <c r="Y224" s="40">
        <v>46</v>
      </c>
      <c r="Z224" s="41">
        <f t="shared" si="15"/>
        <v>829</v>
      </c>
      <c r="AA224" s="42">
        <f t="shared" si="16"/>
        <v>34.541666666666664</v>
      </c>
    </row>
    <row r="225" spans="1:27" ht="14.1" customHeight="1" x14ac:dyDescent="0.2">
      <c r="A225" s="37">
        <v>30</v>
      </c>
      <c r="B225" s="38">
        <v>32</v>
      </c>
      <c r="C225" s="39">
        <v>24</v>
      </c>
      <c r="D225" s="39">
        <v>17</v>
      </c>
      <c r="E225" s="39">
        <v>9</v>
      </c>
      <c r="F225" s="39">
        <v>0</v>
      </c>
      <c r="G225" s="39">
        <v>-10</v>
      </c>
      <c r="H225" s="39">
        <v>-15</v>
      </c>
      <c r="I225" s="39">
        <v>-5</v>
      </c>
      <c r="J225" s="39">
        <v>17</v>
      </c>
      <c r="K225" s="39">
        <v>33</v>
      </c>
      <c r="L225" s="39">
        <v>41</v>
      </c>
      <c r="M225" s="39">
        <v>47</v>
      </c>
      <c r="N225" s="39">
        <v>50</v>
      </c>
      <c r="O225" s="39">
        <v>49</v>
      </c>
      <c r="P225" s="39">
        <v>39</v>
      </c>
      <c r="Q225" s="39">
        <v>27</v>
      </c>
      <c r="R225" s="39">
        <v>22</v>
      </c>
      <c r="S225" s="39">
        <v>20</v>
      </c>
      <c r="T225" s="39">
        <v>21</v>
      </c>
      <c r="U225" s="39">
        <v>30</v>
      </c>
      <c r="V225" s="39">
        <v>44</v>
      </c>
      <c r="W225" s="39">
        <v>52</v>
      </c>
      <c r="X225" s="39">
        <v>55</v>
      </c>
      <c r="Y225" s="40">
        <v>53</v>
      </c>
      <c r="Z225" s="41">
        <f t="shared" si="15"/>
        <v>652</v>
      </c>
      <c r="AA225" s="42">
        <f t="shared" si="16"/>
        <v>27.166666666666668</v>
      </c>
    </row>
    <row r="226" spans="1:27" ht="14.1" customHeight="1" x14ac:dyDescent="0.2">
      <c r="A226" s="37">
        <v>31</v>
      </c>
      <c r="B226" s="44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6"/>
      <c r="Z226" s="47">
        <f t="shared" si="15"/>
        <v>0</v>
      </c>
      <c r="AA226" s="48" t="e">
        <f t="shared" si="16"/>
        <v>#DIV/0!</v>
      </c>
    </row>
    <row r="227" spans="1:27" ht="14.1" customHeight="1" x14ac:dyDescent="0.2">
      <c r="A227" s="27" t="s">
        <v>7</v>
      </c>
      <c r="B227" s="49">
        <f t="shared" ref="B227:Y227" si="17">SUM(B196:B226)</f>
        <v>204</v>
      </c>
      <c r="C227" s="49">
        <f t="shared" si="17"/>
        <v>83</v>
      </c>
      <c r="D227" s="49">
        <f t="shared" si="17"/>
        <v>21</v>
      </c>
      <c r="E227" s="49">
        <f t="shared" si="17"/>
        <v>-12</v>
      </c>
      <c r="F227" s="49">
        <f t="shared" si="17"/>
        <v>-11</v>
      </c>
      <c r="G227" s="49">
        <f t="shared" si="17"/>
        <v>23</v>
      </c>
      <c r="H227" s="49">
        <f t="shared" si="17"/>
        <v>84</v>
      </c>
      <c r="I227" s="49">
        <f t="shared" si="17"/>
        <v>179</v>
      </c>
      <c r="J227" s="49">
        <f t="shared" si="17"/>
        <v>298</v>
      </c>
      <c r="K227" s="49">
        <f t="shared" si="17"/>
        <v>442</v>
      </c>
      <c r="L227" s="49">
        <f t="shared" si="17"/>
        <v>579</v>
      </c>
      <c r="M227" s="49">
        <f t="shared" si="17"/>
        <v>713</v>
      </c>
      <c r="N227" s="49">
        <f t="shared" si="17"/>
        <v>826</v>
      </c>
      <c r="O227" s="49">
        <f t="shared" si="17"/>
        <v>898</v>
      </c>
      <c r="P227" s="49">
        <f t="shared" si="17"/>
        <v>968</v>
      </c>
      <c r="Q227" s="50">
        <f t="shared" si="17"/>
        <v>1036</v>
      </c>
      <c r="R227" s="49">
        <f t="shared" si="17"/>
        <v>1112</v>
      </c>
      <c r="S227" s="49">
        <f t="shared" si="17"/>
        <v>1140</v>
      </c>
      <c r="T227" s="49">
        <f t="shared" si="17"/>
        <v>1105</v>
      </c>
      <c r="U227" s="49">
        <f t="shared" si="17"/>
        <v>1017</v>
      </c>
      <c r="V227" s="49">
        <f t="shared" si="17"/>
        <v>883</v>
      </c>
      <c r="W227" s="49">
        <f t="shared" si="17"/>
        <v>736</v>
      </c>
      <c r="X227" s="49">
        <f t="shared" si="17"/>
        <v>569</v>
      </c>
      <c r="Y227" s="49">
        <f t="shared" si="17"/>
        <v>381</v>
      </c>
      <c r="Z227" s="51">
        <f>SUM(B196:Y226)</f>
        <v>13274</v>
      </c>
      <c r="AA227" s="52">
        <f>AVERAGE(B196:Y226)</f>
        <v>18.43611111111111</v>
      </c>
    </row>
    <row r="228" spans="1:27" ht="14.1" customHeight="1" x14ac:dyDescent="0.25">
      <c r="A228" s="53" t="s">
        <v>10</v>
      </c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 spans="1:27" ht="14.1" customHeight="1" x14ac:dyDescent="0.25">
      <c r="A229" s="55" t="str">
        <f>A191</f>
        <v>Trạm: Gò Dầu Hạ</v>
      </c>
      <c r="B229" s="2"/>
      <c r="C229" s="3"/>
      <c r="D229" s="4"/>
      <c r="E229" s="5"/>
      <c r="F229" s="5"/>
      <c r="G229" s="5"/>
      <c r="H229" s="5"/>
      <c r="I229" s="6"/>
      <c r="J229" s="4"/>
      <c r="K229" s="5"/>
      <c r="L229" s="5"/>
      <c r="M229" s="5"/>
      <c r="N229" s="5"/>
      <c r="O229" s="4"/>
      <c r="P229" s="6"/>
      <c r="Q229" s="4"/>
      <c r="R229" s="5"/>
      <c r="S229" s="5"/>
      <c r="T229" s="5"/>
      <c r="U229" s="5"/>
      <c r="V229" s="6"/>
      <c r="W229" s="4"/>
      <c r="X229" s="7"/>
      <c r="Y229" s="5"/>
      <c r="Z229" s="5"/>
      <c r="AA229" s="5"/>
    </row>
    <row r="230" spans="1:27" ht="14.1" customHeight="1" x14ac:dyDescent="0.25">
      <c r="A230" s="55" t="str">
        <f>A192</f>
        <v>Sông: Vàm Cỏ Đông</v>
      </c>
      <c r="B230" s="2"/>
      <c r="C230" s="2"/>
      <c r="D230" s="9"/>
      <c r="E230" s="10"/>
      <c r="F230" s="10"/>
      <c r="G230" s="10"/>
      <c r="H230" s="10"/>
      <c r="I230" s="11"/>
      <c r="J230" s="11"/>
      <c r="K230" s="5"/>
      <c r="L230" s="5"/>
      <c r="M230" s="12" t="s">
        <v>2</v>
      </c>
      <c r="N230" s="13"/>
      <c r="O230" s="13"/>
      <c r="P230" s="13"/>
      <c r="Q230" s="14"/>
      <c r="R230" s="14"/>
      <c r="S230" s="10"/>
      <c r="T230" s="10"/>
      <c r="U230" s="10"/>
      <c r="V230" s="11"/>
      <c r="W230" s="11"/>
      <c r="X230" s="7"/>
      <c r="Y230" s="5"/>
      <c r="Z230" s="5"/>
      <c r="AA230" s="5"/>
    </row>
    <row r="231" spans="1:27" ht="14.1" customHeight="1" x14ac:dyDescent="0.25">
      <c r="A231" s="56" t="s">
        <v>3</v>
      </c>
      <c r="B231" s="16">
        <f>B193+1</f>
        <v>7</v>
      </c>
      <c r="C231" s="16"/>
      <c r="D231" s="17"/>
      <c r="E231" s="9"/>
      <c r="F231" s="18"/>
      <c r="G231" s="10"/>
      <c r="H231" s="10"/>
      <c r="I231" s="10"/>
      <c r="J231" s="4"/>
      <c r="K231" s="5"/>
      <c r="L231" s="5"/>
      <c r="M231" s="19"/>
      <c r="N231" s="20" t="s">
        <v>4</v>
      </c>
      <c r="O231" s="22">
        <f>O193</f>
        <v>2025</v>
      </c>
      <c r="P231" s="22"/>
      <c r="Q231" s="13"/>
      <c r="R231" s="14"/>
      <c r="S231" s="18"/>
      <c r="T231" s="10"/>
      <c r="U231" s="10"/>
      <c r="V231" s="10"/>
      <c r="W231" s="4"/>
      <c r="X231" s="23" t="s">
        <v>5</v>
      </c>
      <c r="Y231" s="5"/>
      <c r="Z231" s="5"/>
      <c r="AA231" s="5"/>
    </row>
    <row r="232" spans="1:27" ht="14.1" customHeight="1" x14ac:dyDescent="0.2">
      <c r="A232" s="24" t="s">
        <v>6</v>
      </c>
      <c r="B232" s="25">
        <v>0</v>
      </c>
      <c r="C232" s="26">
        <v>1</v>
      </c>
      <c r="D232" s="25">
        <v>2</v>
      </c>
      <c r="E232" s="25">
        <v>3</v>
      </c>
      <c r="F232" s="26">
        <v>4</v>
      </c>
      <c r="G232" s="25">
        <v>5</v>
      </c>
      <c r="H232" s="25">
        <v>6</v>
      </c>
      <c r="I232" s="26">
        <v>7</v>
      </c>
      <c r="J232" s="25">
        <v>8</v>
      </c>
      <c r="K232" s="25">
        <v>9</v>
      </c>
      <c r="L232" s="25">
        <v>10</v>
      </c>
      <c r="M232" s="25">
        <v>11</v>
      </c>
      <c r="N232" s="25">
        <v>12</v>
      </c>
      <c r="O232" s="25">
        <v>13</v>
      </c>
      <c r="P232" s="26">
        <v>14</v>
      </c>
      <c r="Q232" s="25">
        <v>15</v>
      </c>
      <c r="R232" s="26">
        <v>16</v>
      </c>
      <c r="S232" s="25">
        <v>17</v>
      </c>
      <c r="T232" s="26">
        <v>18</v>
      </c>
      <c r="U232" s="25">
        <v>19</v>
      </c>
      <c r="V232" s="26">
        <v>20</v>
      </c>
      <c r="W232" s="25">
        <v>21</v>
      </c>
      <c r="X232" s="26">
        <v>22</v>
      </c>
      <c r="Y232" s="25">
        <v>23</v>
      </c>
      <c r="Z232" s="27" t="s">
        <v>7</v>
      </c>
      <c r="AA232" s="27" t="s">
        <v>8</v>
      </c>
    </row>
    <row r="233" spans="1:27" ht="14.1" customHeight="1" x14ac:dyDescent="0.2">
      <c r="A233" s="28" t="s">
        <v>9</v>
      </c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30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 spans="1:27" ht="14.1" customHeight="1" x14ac:dyDescent="0.2">
      <c r="A234" s="31">
        <v>1</v>
      </c>
      <c r="B234" s="32">
        <v>41</v>
      </c>
      <c r="C234" s="33">
        <v>27</v>
      </c>
      <c r="D234" s="33">
        <v>18</v>
      </c>
      <c r="E234" s="33">
        <v>10</v>
      </c>
      <c r="F234" s="33">
        <v>0</v>
      </c>
      <c r="G234" s="33">
        <v>-9</v>
      </c>
      <c r="H234" s="33">
        <v>-18</v>
      </c>
      <c r="I234" s="33">
        <v>-20</v>
      </c>
      <c r="J234" s="33">
        <v>1</v>
      </c>
      <c r="K234" s="33">
        <v>21</v>
      </c>
      <c r="L234" s="33">
        <v>33</v>
      </c>
      <c r="M234" s="33">
        <v>41</v>
      </c>
      <c r="N234" s="33">
        <v>46</v>
      </c>
      <c r="O234" s="33">
        <v>48</v>
      </c>
      <c r="P234" s="33">
        <v>44</v>
      </c>
      <c r="Q234" s="33">
        <v>31</v>
      </c>
      <c r="R234" s="33">
        <v>21</v>
      </c>
      <c r="S234" s="33">
        <v>16</v>
      </c>
      <c r="T234" s="33">
        <v>13</v>
      </c>
      <c r="U234" s="33">
        <v>14</v>
      </c>
      <c r="V234" s="33">
        <v>21</v>
      </c>
      <c r="W234" s="33">
        <v>33</v>
      </c>
      <c r="X234" s="33">
        <v>42</v>
      </c>
      <c r="Y234" s="34">
        <v>47</v>
      </c>
      <c r="Z234" s="35">
        <f t="shared" ref="Z234:Z264" si="18">SUM(B234:Y234)</f>
        <v>521</v>
      </c>
      <c r="AA234" s="36">
        <f t="shared" ref="AA234:AA264" si="19">AVERAGE(B234:Y234)</f>
        <v>21.708333333333332</v>
      </c>
    </row>
    <row r="235" spans="1:27" ht="14.1" customHeight="1" x14ac:dyDescent="0.2">
      <c r="A235" s="37">
        <v>2</v>
      </c>
      <c r="B235" s="38">
        <v>46</v>
      </c>
      <c r="C235" s="39">
        <v>31</v>
      </c>
      <c r="D235" s="39">
        <v>17</v>
      </c>
      <c r="E235" s="39">
        <v>8</v>
      </c>
      <c r="F235" s="39">
        <v>0</v>
      </c>
      <c r="G235" s="39">
        <v>-10</v>
      </c>
      <c r="H235" s="39">
        <v>-19</v>
      </c>
      <c r="I235" s="39">
        <v>-23</v>
      </c>
      <c r="J235" s="39">
        <v>-18</v>
      </c>
      <c r="K235" s="39">
        <v>3</v>
      </c>
      <c r="L235" s="39">
        <v>20</v>
      </c>
      <c r="M235" s="39">
        <v>30</v>
      </c>
      <c r="N235" s="39">
        <v>37</v>
      </c>
      <c r="O235" s="39">
        <v>42</v>
      </c>
      <c r="P235" s="39">
        <v>44</v>
      </c>
      <c r="Q235" s="39">
        <v>38</v>
      </c>
      <c r="R235" s="39">
        <v>25</v>
      </c>
      <c r="S235" s="39">
        <v>16</v>
      </c>
      <c r="T235" s="39">
        <v>11</v>
      </c>
      <c r="U235" s="39">
        <v>7</v>
      </c>
      <c r="V235" s="39">
        <v>5</v>
      </c>
      <c r="W235" s="39">
        <v>10</v>
      </c>
      <c r="X235" s="39">
        <v>16</v>
      </c>
      <c r="Y235" s="40">
        <v>25</v>
      </c>
      <c r="Z235" s="41">
        <f t="shared" si="18"/>
        <v>361</v>
      </c>
      <c r="AA235" s="42">
        <f t="shared" si="19"/>
        <v>15.041666666666666</v>
      </c>
    </row>
    <row r="236" spans="1:27" ht="14.1" customHeight="1" x14ac:dyDescent="0.2">
      <c r="A236" s="37">
        <v>3</v>
      </c>
      <c r="B236" s="38">
        <v>29</v>
      </c>
      <c r="C236" s="39">
        <v>27</v>
      </c>
      <c r="D236" s="39">
        <v>16</v>
      </c>
      <c r="E236" s="39">
        <v>4</v>
      </c>
      <c r="F236" s="39">
        <v>-5</v>
      </c>
      <c r="G236" s="39">
        <v>-15</v>
      </c>
      <c r="H236" s="39">
        <v>-23</v>
      </c>
      <c r="I236" s="39">
        <v>-30</v>
      </c>
      <c r="J236" s="39">
        <v>-26</v>
      </c>
      <c r="K236" s="39">
        <v>-4</v>
      </c>
      <c r="L236" s="39">
        <v>13</v>
      </c>
      <c r="M236" s="39">
        <v>22</v>
      </c>
      <c r="N236" s="39">
        <v>28</v>
      </c>
      <c r="O236" s="39">
        <v>33</v>
      </c>
      <c r="P236" s="39">
        <v>36</v>
      </c>
      <c r="Q236" s="39">
        <v>35</v>
      </c>
      <c r="R236" s="39">
        <v>26</v>
      </c>
      <c r="S236" s="39">
        <v>12</v>
      </c>
      <c r="T236" s="39">
        <v>5</v>
      </c>
      <c r="U236" s="39">
        <v>-1</v>
      </c>
      <c r="V236" s="39">
        <v>-8</v>
      </c>
      <c r="W236" s="39">
        <v>-11</v>
      </c>
      <c r="X236" s="39">
        <v>-9</v>
      </c>
      <c r="Y236" s="40">
        <v>-1</v>
      </c>
      <c r="Z236" s="41">
        <f t="shared" si="18"/>
        <v>153</v>
      </c>
      <c r="AA236" s="42">
        <f t="shared" si="19"/>
        <v>6.375</v>
      </c>
    </row>
    <row r="237" spans="1:27" ht="14.1" customHeight="1" x14ac:dyDescent="0.2">
      <c r="A237" s="37">
        <v>4</v>
      </c>
      <c r="B237" s="38">
        <v>9</v>
      </c>
      <c r="C237" s="39">
        <v>15</v>
      </c>
      <c r="D237" s="39">
        <v>17</v>
      </c>
      <c r="E237" s="39">
        <v>11</v>
      </c>
      <c r="F237" s="39">
        <v>-4</v>
      </c>
      <c r="G237" s="39">
        <v>-14</v>
      </c>
      <c r="H237" s="39">
        <v>-20</v>
      </c>
      <c r="I237" s="39">
        <v>-25</v>
      </c>
      <c r="J237" s="39">
        <v>-27</v>
      </c>
      <c r="K237" s="39">
        <v>-16</v>
      </c>
      <c r="L237" s="39">
        <v>4</v>
      </c>
      <c r="M237" s="39">
        <v>15</v>
      </c>
      <c r="N237" s="39">
        <v>23</v>
      </c>
      <c r="O237" s="39">
        <v>29</v>
      </c>
      <c r="P237" s="39">
        <v>32</v>
      </c>
      <c r="Q237" s="39">
        <v>32</v>
      </c>
      <c r="R237" s="39">
        <v>25</v>
      </c>
      <c r="S237" s="39">
        <v>10</v>
      </c>
      <c r="T237" s="39">
        <v>1</v>
      </c>
      <c r="U237" s="39">
        <v>-6</v>
      </c>
      <c r="V237" s="39">
        <v>-11</v>
      </c>
      <c r="W237" s="39">
        <v>-18</v>
      </c>
      <c r="X237" s="39">
        <v>-21</v>
      </c>
      <c r="Y237" s="40">
        <v>-20</v>
      </c>
      <c r="Z237" s="41">
        <f t="shared" si="18"/>
        <v>41</v>
      </c>
      <c r="AA237" s="42">
        <f t="shared" si="19"/>
        <v>1.7083333333333333</v>
      </c>
    </row>
    <row r="238" spans="1:27" ht="14.1" customHeight="1" x14ac:dyDescent="0.2">
      <c r="A238" s="37">
        <v>5</v>
      </c>
      <c r="B238" s="38">
        <v>-11</v>
      </c>
      <c r="C238" s="39">
        <v>3</v>
      </c>
      <c r="D238" s="39">
        <v>12</v>
      </c>
      <c r="E238" s="39">
        <v>15</v>
      </c>
      <c r="F238" s="39">
        <v>12</v>
      </c>
      <c r="G238" s="39">
        <v>3</v>
      </c>
      <c r="H238" s="39">
        <v>-5</v>
      </c>
      <c r="I238" s="39">
        <v>-10</v>
      </c>
      <c r="J238" s="39">
        <v>-13</v>
      </c>
      <c r="K238" s="39">
        <v>-11</v>
      </c>
      <c r="L238" s="39">
        <v>2</v>
      </c>
      <c r="M238" s="39">
        <v>17</v>
      </c>
      <c r="N238" s="39">
        <v>26</v>
      </c>
      <c r="O238" s="39">
        <v>33</v>
      </c>
      <c r="P238" s="39">
        <v>37</v>
      </c>
      <c r="Q238" s="39">
        <v>39</v>
      </c>
      <c r="R238" s="39">
        <v>34</v>
      </c>
      <c r="S238" s="39">
        <v>21</v>
      </c>
      <c r="T238" s="39">
        <v>10</v>
      </c>
      <c r="U238" s="39">
        <v>2</v>
      </c>
      <c r="V238" s="39">
        <v>-7</v>
      </c>
      <c r="W238" s="39">
        <v>-16</v>
      </c>
      <c r="X238" s="39">
        <v>-24</v>
      </c>
      <c r="Y238" s="40">
        <v>-28</v>
      </c>
      <c r="Z238" s="41">
        <f t="shared" si="18"/>
        <v>141</v>
      </c>
      <c r="AA238" s="42">
        <f t="shared" si="19"/>
        <v>5.875</v>
      </c>
    </row>
    <row r="239" spans="1:27" ht="14.1" customHeight="1" x14ac:dyDescent="0.2">
      <c r="A239" s="37">
        <v>6</v>
      </c>
      <c r="B239" s="38">
        <v>-29</v>
      </c>
      <c r="C239" s="39">
        <v>-19</v>
      </c>
      <c r="D239" s="39">
        <v>-1</v>
      </c>
      <c r="E239" s="39">
        <v>11</v>
      </c>
      <c r="F239" s="39">
        <v>17</v>
      </c>
      <c r="G239" s="39">
        <v>20</v>
      </c>
      <c r="H239" s="39">
        <v>19</v>
      </c>
      <c r="I239" s="39">
        <v>15</v>
      </c>
      <c r="J239" s="39">
        <v>6</v>
      </c>
      <c r="K239" s="39">
        <v>1</v>
      </c>
      <c r="L239" s="39">
        <v>4</v>
      </c>
      <c r="M239" s="39">
        <v>18</v>
      </c>
      <c r="N239" s="39">
        <v>31</v>
      </c>
      <c r="O239" s="39">
        <v>39</v>
      </c>
      <c r="P239" s="39">
        <v>43</v>
      </c>
      <c r="Q239" s="39">
        <v>45</v>
      </c>
      <c r="R239" s="39">
        <v>43</v>
      </c>
      <c r="S239" s="39">
        <v>31</v>
      </c>
      <c r="T239" s="39">
        <v>18</v>
      </c>
      <c r="U239" s="39">
        <v>10</v>
      </c>
      <c r="V239" s="39">
        <v>1</v>
      </c>
      <c r="W239" s="39">
        <v>-8</v>
      </c>
      <c r="X239" s="39">
        <v>-18</v>
      </c>
      <c r="Y239" s="40">
        <v>-28</v>
      </c>
      <c r="Z239" s="41">
        <f t="shared" si="18"/>
        <v>269</v>
      </c>
      <c r="AA239" s="42">
        <f t="shared" si="19"/>
        <v>11.208333333333334</v>
      </c>
    </row>
    <row r="240" spans="1:27" ht="14.1" customHeight="1" x14ac:dyDescent="0.2">
      <c r="A240" s="37">
        <v>7</v>
      </c>
      <c r="B240" s="38">
        <v>-34</v>
      </c>
      <c r="C240" s="39">
        <v>-30</v>
      </c>
      <c r="D240" s="39">
        <v>-9</v>
      </c>
      <c r="E240" s="39">
        <v>8</v>
      </c>
      <c r="F240" s="39">
        <v>16</v>
      </c>
      <c r="G240" s="39">
        <v>22</v>
      </c>
      <c r="H240" s="39">
        <v>26</v>
      </c>
      <c r="I240" s="39">
        <v>26</v>
      </c>
      <c r="J240" s="39">
        <v>19</v>
      </c>
      <c r="K240" s="39">
        <v>13</v>
      </c>
      <c r="L240" s="39">
        <v>13</v>
      </c>
      <c r="M240" s="39">
        <v>19</v>
      </c>
      <c r="N240" s="39">
        <v>28</v>
      </c>
      <c r="O240" s="39">
        <v>36</v>
      </c>
      <c r="P240" s="39">
        <v>41</v>
      </c>
      <c r="Q240" s="39">
        <v>45</v>
      </c>
      <c r="R240" s="39">
        <v>46</v>
      </c>
      <c r="S240" s="39">
        <v>40</v>
      </c>
      <c r="T240" s="39">
        <v>25</v>
      </c>
      <c r="U240" s="39">
        <v>15</v>
      </c>
      <c r="V240" s="39">
        <v>6</v>
      </c>
      <c r="W240" s="39">
        <v>-3</v>
      </c>
      <c r="X240" s="39">
        <v>-12</v>
      </c>
      <c r="Y240" s="40">
        <v>-21</v>
      </c>
      <c r="Z240" s="41">
        <f t="shared" si="18"/>
        <v>335</v>
      </c>
      <c r="AA240" s="42">
        <f t="shared" si="19"/>
        <v>13.958333333333334</v>
      </c>
    </row>
    <row r="241" spans="1:27" ht="14.1" customHeight="1" x14ac:dyDescent="0.2">
      <c r="A241" s="37">
        <v>8</v>
      </c>
      <c r="B241" s="38">
        <v>-31</v>
      </c>
      <c r="C241" s="39">
        <v>-35</v>
      </c>
      <c r="D241" s="39">
        <v>-24</v>
      </c>
      <c r="E241" s="39">
        <v>-2</v>
      </c>
      <c r="F241" s="39">
        <v>11</v>
      </c>
      <c r="G241" s="39">
        <v>18</v>
      </c>
      <c r="H241" s="39">
        <v>24</v>
      </c>
      <c r="I241" s="39">
        <v>29</v>
      </c>
      <c r="J241" s="39">
        <v>33</v>
      </c>
      <c r="K241" s="39">
        <v>32</v>
      </c>
      <c r="L241" s="39">
        <v>24</v>
      </c>
      <c r="M241" s="39">
        <v>20</v>
      </c>
      <c r="N241" s="39">
        <v>24</v>
      </c>
      <c r="O241" s="39">
        <v>30</v>
      </c>
      <c r="P241" s="39">
        <v>36</v>
      </c>
      <c r="Q241" s="39">
        <v>43</v>
      </c>
      <c r="R241" s="39">
        <v>47</v>
      </c>
      <c r="S241" s="39">
        <v>47</v>
      </c>
      <c r="T241" s="39">
        <v>36</v>
      </c>
      <c r="U241" s="39">
        <v>20</v>
      </c>
      <c r="V241" s="39">
        <v>10</v>
      </c>
      <c r="W241" s="39">
        <v>2</v>
      </c>
      <c r="X241" s="39">
        <v>-8</v>
      </c>
      <c r="Y241" s="40">
        <v>-18</v>
      </c>
      <c r="Z241" s="41">
        <f t="shared" si="18"/>
        <v>368</v>
      </c>
      <c r="AA241" s="42">
        <f t="shared" si="19"/>
        <v>15.333333333333334</v>
      </c>
    </row>
    <row r="242" spans="1:27" ht="14.1" customHeight="1" x14ac:dyDescent="0.2">
      <c r="A242" s="37">
        <v>9</v>
      </c>
      <c r="B242" s="38">
        <v>-28</v>
      </c>
      <c r="C242" s="39">
        <v>-39</v>
      </c>
      <c r="D242" s="39">
        <v>-39</v>
      </c>
      <c r="E242" s="39">
        <v>-19</v>
      </c>
      <c r="F242" s="39">
        <v>1</v>
      </c>
      <c r="G242" s="39">
        <v>12</v>
      </c>
      <c r="H242" s="39">
        <v>20</v>
      </c>
      <c r="I242" s="39">
        <v>26</v>
      </c>
      <c r="J242" s="39">
        <v>30</v>
      </c>
      <c r="K242" s="39">
        <v>31</v>
      </c>
      <c r="L242" s="39">
        <v>28</v>
      </c>
      <c r="M242" s="39">
        <v>24</v>
      </c>
      <c r="N242" s="39">
        <v>24</v>
      </c>
      <c r="O242" s="39">
        <v>28</v>
      </c>
      <c r="P242" s="39">
        <v>37</v>
      </c>
      <c r="Q242" s="39">
        <v>44</v>
      </c>
      <c r="R242" s="39">
        <v>48</v>
      </c>
      <c r="S242" s="39">
        <v>48</v>
      </c>
      <c r="T242" s="39">
        <v>42</v>
      </c>
      <c r="U242" s="39">
        <v>28</v>
      </c>
      <c r="V242" s="39">
        <v>16</v>
      </c>
      <c r="W242" s="39">
        <v>7</v>
      </c>
      <c r="X242" s="39">
        <v>-2</v>
      </c>
      <c r="Y242" s="40">
        <v>-12</v>
      </c>
      <c r="Z242" s="41">
        <f t="shared" si="18"/>
        <v>355</v>
      </c>
      <c r="AA242" s="42">
        <f t="shared" si="19"/>
        <v>14.791666666666666</v>
      </c>
    </row>
    <row r="243" spans="1:27" ht="14.1" customHeight="1" x14ac:dyDescent="0.2">
      <c r="A243" s="37">
        <v>10</v>
      </c>
      <c r="B243" s="38">
        <v>-22</v>
      </c>
      <c r="C243" s="39">
        <v>-34</v>
      </c>
      <c r="D243" s="39">
        <v>-45</v>
      </c>
      <c r="E243" s="39">
        <v>-42</v>
      </c>
      <c r="F243" s="39">
        <v>-18</v>
      </c>
      <c r="G243" s="39">
        <v>2</v>
      </c>
      <c r="H243" s="39">
        <v>12</v>
      </c>
      <c r="I243" s="39">
        <v>21</v>
      </c>
      <c r="J243" s="39">
        <v>28</v>
      </c>
      <c r="K243" s="39">
        <v>32</v>
      </c>
      <c r="L243" s="39">
        <v>34</v>
      </c>
      <c r="M243" s="39">
        <v>31</v>
      </c>
      <c r="N243" s="39">
        <v>26</v>
      </c>
      <c r="O243" s="39">
        <v>24</v>
      </c>
      <c r="P243" s="39">
        <v>29</v>
      </c>
      <c r="Q243" s="39">
        <v>39</v>
      </c>
      <c r="R243" s="39">
        <v>46</v>
      </c>
      <c r="S243" s="39">
        <v>51</v>
      </c>
      <c r="T243" s="39">
        <v>51</v>
      </c>
      <c r="U243" s="39">
        <v>51</v>
      </c>
      <c r="V243" s="39">
        <v>41</v>
      </c>
      <c r="W243" s="39">
        <v>27</v>
      </c>
      <c r="X243" s="39">
        <v>19</v>
      </c>
      <c r="Y243" s="40">
        <v>11</v>
      </c>
      <c r="Z243" s="41">
        <f t="shared" si="18"/>
        <v>414</v>
      </c>
      <c r="AA243" s="42">
        <f t="shared" si="19"/>
        <v>17.25</v>
      </c>
    </row>
    <row r="244" spans="1:27" ht="14.1" customHeight="1" x14ac:dyDescent="0.2">
      <c r="A244" s="37">
        <v>11</v>
      </c>
      <c r="B244" s="38">
        <v>3</v>
      </c>
      <c r="C244" s="39">
        <v>-6</v>
      </c>
      <c r="D244" s="39">
        <v>-16</v>
      </c>
      <c r="E244" s="39">
        <v>-25</v>
      </c>
      <c r="F244" s="39">
        <v>-21</v>
      </c>
      <c r="G244" s="39">
        <v>2</v>
      </c>
      <c r="H244" s="39">
        <v>22</v>
      </c>
      <c r="I244" s="39">
        <v>33</v>
      </c>
      <c r="J244" s="39">
        <v>40</v>
      </c>
      <c r="K244" s="39">
        <v>45</v>
      </c>
      <c r="L244" s="39">
        <v>47</v>
      </c>
      <c r="M244" s="39">
        <v>43</v>
      </c>
      <c r="N244" s="39">
        <v>32</v>
      </c>
      <c r="O244" s="39">
        <v>28</v>
      </c>
      <c r="P244" s="39">
        <v>30</v>
      </c>
      <c r="Q244" s="39">
        <v>38</v>
      </c>
      <c r="R244" s="39">
        <v>48</v>
      </c>
      <c r="S244" s="39">
        <v>54</v>
      </c>
      <c r="T244" s="39">
        <v>56</v>
      </c>
      <c r="U244" s="39">
        <v>54</v>
      </c>
      <c r="V244" s="39">
        <v>43</v>
      </c>
      <c r="W244" s="39">
        <v>30</v>
      </c>
      <c r="X244" s="39">
        <v>20</v>
      </c>
      <c r="Y244" s="40">
        <v>12</v>
      </c>
      <c r="Z244" s="41">
        <f t="shared" si="18"/>
        <v>612</v>
      </c>
      <c r="AA244" s="42">
        <f t="shared" si="19"/>
        <v>25.5</v>
      </c>
    </row>
    <row r="245" spans="1:27" ht="14.1" customHeight="1" x14ac:dyDescent="0.2">
      <c r="A245" s="37">
        <v>12</v>
      </c>
      <c r="B245" s="38">
        <v>3</v>
      </c>
      <c r="C245" s="39">
        <v>-7</v>
      </c>
      <c r="D245" s="39">
        <v>-17</v>
      </c>
      <c r="E245" s="39">
        <v>-27</v>
      </c>
      <c r="F245" s="39">
        <v>-29</v>
      </c>
      <c r="G245" s="39">
        <v>-11</v>
      </c>
      <c r="H245" s="39">
        <v>11</v>
      </c>
      <c r="I245" s="39">
        <v>23</v>
      </c>
      <c r="J245" s="39">
        <v>32</v>
      </c>
      <c r="K245" s="39">
        <v>38</v>
      </c>
      <c r="L245" s="39">
        <v>41</v>
      </c>
      <c r="M245" s="39">
        <v>41</v>
      </c>
      <c r="N245" s="39">
        <v>34</v>
      </c>
      <c r="O245" s="39">
        <v>26</v>
      </c>
      <c r="P245" s="39">
        <v>23</v>
      </c>
      <c r="Q245" s="39">
        <v>25</v>
      </c>
      <c r="R245" s="39">
        <v>36</v>
      </c>
      <c r="S245" s="39">
        <v>48</v>
      </c>
      <c r="T245" s="39">
        <v>56</v>
      </c>
      <c r="U245" s="39">
        <v>58</v>
      </c>
      <c r="V245" s="39">
        <v>57</v>
      </c>
      <c r="W245" s="39">
        <v>46</v>
      </c>
      <c r="X245" s="39">
        <v>30</v>
      </c>
      <c r="Y245" s="40">
        <v>21</v>
      </c>
      <c r="Z245" s="41">
        <f t="shared" si="18"/>
        <v>558</v>
      </c>
      <c r="AA245" s="42">
        <f t="shared" si="19"/>
        <v>23.25</v>
      </c>
    </row>
    <row r="246" spans="1:27" ht="14.1" customHeight="1" x14ac:dyDescent="0.2">
      <c r="A246" s="37">
        <v>13</v>
      </c>
      <c r="B246" s="38">
        <v>13</v>
      </c>
      <c r="C246" s="39">
        <v>4</v>
      </c>
      <c r="D246" s="39">
        <v>-6</v>
      </c>
      <c r="E246" s="39">
        <v>-16</v>
      </c>
      <c r="F246" s="39">
        <v>-27</v>
      </c>
      <c r="G246" s="39">
        <v>-23</v>
      </c>
      <c r="H246" s="39">
        <v>-1</v>
      </c>
      <c r="I246" s="39">
        <v>19</v>
      </c>
      <c r="J246" s="39">
        <v>29</v>
      </c>
      <c r="K246" s="39">
        <v>36</v>
      </c>
      <c r="L246" s="39">
        <v>40</v>
      </c>
      <c r="M246" s="39">
        <v>42</v>
      </c>
      <c r="N246" s="39">
        <v>37</v>
      </c>
      <c r="O246" s="39">
        <v>25</v>
      </c>
      <c r="P246" s="39">
        <v>18</v>
      </c>
      <c r="Q246" s="39">
        <v>18</v>
      </c>
      <c r="R246" s="39">
        <v>25</v>
      </c>
      <c r="S246" s="39">
        <v>40</v>
      </c>
      <c r="T246" s="39">
        <v>51</v>
      </c>
      <c r="U246" s="39">
        <v>55</v>
      </c>
      <c r="V246" s="39">
        <v>57</v>
      </c>
      <c r="W246" s="39">
        <v>54</v>
      </c>
      <c r="X246" s="39">
        <v>41</v>
      </c>
      <c r="Y246" s="40">
        <v>28</v>
      </c>
      <c r="Z246" s="41">
        <f t="shared" si="18"/>
        <v>559</v>
      </c>
      <c r="AA246" s="42">
        <f t="shared" si="19"/>
        <v>23.291666666666668</v>
      </c>
    </row>
    <row r="247" spans="1:27" ht="14.1" customHeight="1" x14ac:dyDescent="0.2">
      <c r="A247" s="37">
        <v>14</v>
      </c>
      <c r="B247" s="38">
        <v>19</v>
      </c>
      <c r="C247" s="39">
        <v>11</v>
      </c>
      <c r="D247" s="39">
        <v>2</v>
      </c>
      <c r="E247" s="39">
        <v>-8</v>
      </c>
      <c r="F247" s="39">
        <v>-19</v>
      </c>
      <c r="G247" s="39">
        <v>-26</v>
      </c>
      <c r="H247" s="39">
        <v>-13</v>
      </c>
      <c r="I247" s="39">
        <v>11</v>
      </c>
      <c r="J247" s="39">
        <v>24</v>
      </c>
      <c r="K247" s="39">
        <v>33</v>
      </c>
      <c r="L247" s="39">
        <v>39</v>
      </c>
      <c r="M247" s="39">
        <v>43</v>
      </c>
      <c r="N247" s="39">
        <v>41</v>
      </c>
      <c r="O247" s="39">
        <v>29</v>
      </c>
      <c r="P247" s="39">
        <v>18</v>
      </c>
      <c r="Q247" s="39">
        <v>14</v>
      </c>
      <c r="R247" s="39">
        <v>15</v>
      </c>
      <c r="S247" s="39">
        <v>25</v>
      </c>
      <c r="T247" s="39">
        <v>40</v>
      </c>
      <c r="U247" s="39">
        <v>50</v>
      </c>
      <c r="V247" s="39">
        <v>54</v>
      </c>
      <c r="W247" s="39">
        <v>56</v>
      </c>
      <c r="X247" s="39">
        <v>51</v>
      </c>
      <c r="Y247" s="40">
        <v>36</v>
      </c>
      <c r="Z247" s="41">
        <f t="shared" si="18"/>
        <v>545</v>
      </c>
      <c r="AA247" s="42">
        <f t="shared" si="19"/>
        <v>22.708333333333332</v>
      </c>
    </row>
    <row r="248" spans="1:27" ht="14.1" customHeight="1" x14ac:dyDescent="0.2">
      <c r="A248" s="37">
        <v>15</v>
      </c>
      <c r="B248" s="38">
        <v>23</v>
      </c>
      <c r="C248" s="39">
        <v>15</v>
      </c>
      <c r="D248" s="39">
        <v>7</v>
      </c>
      <c r="E248" s="39">
        <v>-3</v>
      </c>
      <c r="F248" s="39">
        <v>-13</v>
      </c>
      <c r="G248" s="39">
        <v>-23</v>
      </c>
      <c r="H248" s="39">
        <v>-21</v>
      </c>
      <c r="I248" s="39">
        <v>1</v>
      </c>
      <c r="J248" s="39">
        <v>19</v>
      </c>
      <c r="K248" s="39">
        <v>30</v>
      </c>
      <c r="L248" s="39">
        <v>37</v>
      </c>
      <c r="M248" s="39">
        <v>41</v>
      </c>
      <c r="N248" s="39">
        <v>43</v>
      </c>
      <c r="O248" s="39">
        <v>35</v>
      </c>
      <c r="P248" s="39">
        <v>21</v>
      </c>
      <c r="Q248" s="39">
        <v>14</v>
      </c>
      <c r="R248" s="39">
        <v>10</v>
      </c>
      <c r="S248" s="39">
        <v>11</v>
      </c>
      <c r="T248" s="39">
        <v>24</v>
      </c>
      <c r="U248" s="39">
        <v>42</v>
      </c>
      <c r="V248" s="39">
        <v>53</v>
      </c>
      <c r="W248" s="39">
        <v>59</v>
      </c>
      <c r="X248" s="39">
        <v>62</v>
      </c>
      <c r="Y248" s="40">
        <v>59</v>
      </c>
      <c r="Z248" s="41">
        <f t="shared" si="18"/>
        <v>546</v>
      </c>
      <c r="AA248" s="42">
        <f t="shared" si="19"/>
        <v>22.75</v>
      </c>
    </row>
    <row r="249" spans="1:27" ht="14.1" customHeight="1" x14ac:dyDescent="0.2">
      <c r="A249" s="37">
        <v>16</v>
      </c>
      <c r="B249" s="38">
        <v>41</v>
      </c>
      <c r="C249" s="39">
        <v>30</v>
      </c>
      <c r="D249" s="39">
        <v>22</v>
      </c>
      <c r="E249" s="39">
        <v>14</v>
      </c>
      <c r="F249" s="39">
        <v>5</v>
      </c>
      <c r="G249" s="39">
        <v>-4</v>
      </c>
      <c r="H249" s="39">
        <v>-9</v>
      </c>
      <c r="I249" s="39">
        <v>2</v>
      </c>
      <c r="J249" s="39">
        <v>23</v>
      </c>
      <c r="K249" s="39">
        <v>39</v>
      </c>
      <c r="L249" s="39">
        <v>48</v>
      </c>
      <c r="M249" s="39">
        <v>53</v>
      </c>
      <c r="N249" s="39">
        <v>56</v>
      </c>
      <c r="O249" s="39">
        <v>53</v>
      </c>
      <c r="P249" s="39">
        <v>39</v>
      </c>
      <c r="Q249" s="39">
        <v>29</v>
      </c>
      <c r="R249" s="39">
        <v>23</v>
      </c>
      <c r="S249" s="39">
        <v>19</v>
      </c>
      <c r="T249" s="39">
        <v>18</v>
      </c>
      <c r="U249" s="39">
        <v>22</v>
      </c>
      <c r="V249" s="39">
        <v>33</v>
      </c>
      <c r="W249" s="39">
        <v>47</v>
      </c>
      <c r="X249" s="39">
        <v>55</v>
      </c>
      <c r="Y249" s="40">
        <v>58</v>
      </c>
      <c r="Z249" s="41">
        <f t="shared" si="18"/>
        <v>716</v>
      </c>
      <c r="AA249" s="42">
        <f t="shared" si="19"/>
        <v>29.833333333333332</v>
      </c>
    </row>
    <row r="250" spans="1:27" ht="14.1" customHeight="1" x14ac:dyDescent="0.2">
      <c r="A250" s="37">
        <v>17</v>
      </c>
      <c r="B250" s="38">
        <v>50</v>
      </c>
      <c r="C250" s="39">
        <v>35</v>
      </c>
      <c r="D250" s="39">
        <v>25</v>
      </c>
      <c r="E250" s="39">
        <v>17</v>
      </c>
      <c r="F250" s="39">
        <v>9</v>
      </c>
      <c r="G250" s="39">
        <v>0</v>
      </c>
      <c r="H250" s="39">
        <v>-8</v>
      </c>
      <c r="I250" s="39">
        <v>-9</v>
      </c>
      <c r="J250" s="39">
        <v>7</v>
      </c>
      <c r="K250" s="39">
        <v>30</v>
      </c>
      <c r="L250" s="39">
        <v>43</v>
      </c>
      <c r="M250" s="39">
        <v>51</v>
      </c>
      <c r="N250" s="39">
        <v>56</v>
      </c>
      <c r="O250" s="39">
        <v>58</v>
      </c>
      <c r="P250" s="39">
        <v>50</v>
      </c>
      <c r="Q250" s="39">
        <v>35</v>
      </c>
      <c r="R250" s="39">
        <v>26</v>
      </c>
      <c r="S250" s="39">
        <v>20</v>
      </c>
      <c r="T250" s="39">
        <v>14</v>
      </c>
      <c r="U250" s="39">
        <v>11</v>
      </c>
      <c r="V250" s="39">
        <v>17</v>
      </c>
      <c r="W250" s="39">
        <v>32</v>
      </c>
      <c r="X250" s="39">
        <v>42</v>
      </c>
      <c r="Y250" s="40">
        <v>48</v>
      </c>
      <c r="Z250" s="41">
        <f t="shared" si="18"/>
        <v>659</v>
      </c>
      <c r="AA250" s="42">
        <f t="shared" si="19"/>
        <v>27.458333333333332</v>
      </c>
    </row>
    <row r="251" spans="1:27" ht="14.1" customHeight="1" x14ac:dyDescent="0.2">
      <c r="A251" s="37">
        <v>18</v>
      </c>
      <c r="B251" s="38">
        <v>50</v>
      </c>
      <c r="C251" s="39">
        <v>42</v>
      </c>
      <c r="D251" s="39">
        <v>26</v>
      </c>
      <c r="E251" s="39">
        <v>18</v>
      </c>
      <c r="F251" s="39">
        <v>9</v>
      </c>
      <c r="G251" s="39">
        <v>2</v>
      </c>
      <c r="H251" s="39">
        <v>-7</v>
      </c>
      <c r="I251" s="39">
        <v>-15</v>
      </c>
      <c r="J251" s="39">
        <v>-8</v>
      </c>
      <c r="K251" s="39">
        <v>16</v>
      </c>
      <c r="L251" s="39">
        <v>32</v>
      </c>
      <c r="M251" s="39">
        <v>40</v>
      </c>
      <c r="N251" s="39">
        <v>46</v>
      </c>
      <c r="O251" s="39">
        <v>50</v>
      </c>
      <c r="P251" s="39">
        <v>47</v>
      </c>
      <c r="Q251" s="39">
        <v>32</v>
      </c>
      <c r="R251" s="39">
        <v>18</v>
      </c>
      <c r="S251" s="39">
        <v>11</v>
      </c>
      <c r="T251" s="39">
        <v>3</v>
      </c>
      <c r="U251" s="39">
        <v>-5</v>
      </c>
      <c r="V251" s="39">
        <v>-11</v>
      </c>
      <c r="W251" s="39">
        <v>-10</v>
      </c>
      <c r="X251" s="39">
        <v>3</v>
      </c>
      <c r="Y251" s="40">
        <v>18</v>
      </c>
      <c r="Z251" s="41">
        <f t="shared" si="18"/>
        <v>407</v>
      </c>
      <c r="AA251" s="42">
        <f t="shared" si="19"/>
        <v>16.958333333333332</v>
      </c>
    </row>
    <row r="252" spans="1:27" ht="14.1" customHeight="1" x14ac:dyDescent="0.2">
      <c r="A252" s="37">
        <v>19</v>
      </c>
      <c r="B252" s="38">
        <v>27</v>
      </c>
      <c r="C252" s="39">
        <v>31</v>
      </c>
      <c r="D252" s="39">
        <v>32</v>
      </c>
      <c r="E252" s="39">
        <v>22</v>
      </c>
      <c r="F252" s="39">
        <v>6</v>
      </c>
      <c r="G252" s="39">
        <v>-2</v>
      </c>
      <c r="H252" s="39">
        <v>-8</v>
      </c>
      <c r="I252" s="39">
        <v>-14</v>
      </c>
      <c r="J252" s="39">
        <v>-15</v>
      </c>
      <c r="K252" s="39">
        <v>2</v>
      </c>
      <c r="L252" s="39">
        <v>21</v>
      </c>
      <c r="M252" s="39">
        <v>32</v>
      </c>
      <c r="N252" s="39">
        <v>40</v>
      </c>
      <c r="O252" s="39">
        <v>45</v>
      </c>
      <c r="P252" s="39">
        <v>48</v>
      </c>
      <c r="Q252" s="39">
        <v>41</v>
      </c>
      <c r="R252" s="39">
        <v>24</v>
      </c>
      <c r="S252" s="39">
        <v>13</v>
      </c>
      <c r="T252" s="39">
        <v>5</v>
      </c>
      <c r="U252" s="39">
        <v>-3</v>
      </c>
      <c r="V252" s="39">
        <v>-13</v>
      </c>
      <c r="W252" s="39">
        <v>-21</v>
      </c>
      <c r="X252" s="39">
        <v>-22</v>
      </c>
      <c r="Y252" s="40">
        <v>-15</v>
      </c>
      <c r="Z252" s="41">
        <f t="shared" si="18"/>
        <v>276</v>
      </c>
      <c r="AA252" s="42">
        <f t="shared" si="19"/>
        <v>11.5</v>
      </c>
    </row>
    <row r="253" spans="1:27" ht="14.1" customHeight="1" x14ac:dyDescent="0.2">
      <c r="A253" s="37">
        <v>20</v>
      </c>
      <c r="B253" s="38">
        <v>0</v>
      </c>
      <c r="C253" s="39">
        <v>15</v>
      </c>
      <c r="D253" s="39">
        <v>23</v>
      </c>
      <c r="E253" s="39">
        <v>26</v>
      </c>
      <c r="F253" s="39">
        <v>25</v>
      </c>
      <c r="G253" s="39">
        <v>14</v>
      </c>
      <c r="H253" s="39">
        <v>4</v>
      </c>
      <c r="I253" s="39">
        <v>-2</v>
      </c>
      <c r="J253" s="39">
        <v>-5</v>
      </c>
      <c r="K253" s="39">
        <v>-4</v>
      </c>
      <c r="L253" s="39">
        <v>11</v>
      </c>
      <c r="M253" s="39">
        <v>28</v>
      </c>
      <c r="N253" s="39">
        <v>38</v>
      </c>
      <c r="O253" s="39">
        <v>43</v>
      </c>
      <c r="P253" s="39">
        <v>46</v>
      </c>
      <c r="Q253" s="39">
        <v>45</v>
      </c>
      <c r="R253" s="39">
        <v>33</v>
      </c>
      <c r="S253" s="39">
        <v>20</v>
      </c>
      <c r="T253" s="39">
        <v>10</v>
      </c>
      <c r="U253" s="39">
        <v>3</v>
      </c>
      <c r="V253" s="39">
        <v>-7</v>
      </c>
      <c r="W253" s="39">
        <v>-16</v>
      </c>
      <c r="X253" s="39">
        <v>-25</v>
      </c>
      <c r="Y253" s="40">
        <v>-32</v>
      </c>
      <c r="Z253" s="41">
        <f t="shared" si="18"/>
        <v>293</v>
      </c>
      <c r="AA253" s="42">
        <f t="shared" si="19"/>
        <v>12.208333333333334</v>
      </c>
    </row>
    <row r="254" spans="1:27" ht="14.1" customHeight="1" x14ac:dyDescent="0.2">
      <c r="A254" s="37">
        <v>21</v>
      </c>
      <c r="B254" s="38">
        <v>-27</v>
      </c>
      <c r="C254" s="39">
        <v>-7</v>
      </c>
      <c r="D254" s="39">
        <v>11</v>
      </c>
      <c r="E254" s="39">
        <v>20</v>
      </c>
      <c r="F254" s="39">
        <v>24</v>
      </c>
      <c r="G254" s="39">
        <v>26</v>
      </c>
      <c r="H254" s="39">
        <v>25</v>
      </c>
      <c r="I254" s="39">
        <v>16</v>
      </c>
      <c r="J254" s="39">
        <v>8</v>
      </c>
      <c r="K254" s="39">
        <v>7</v>
      </c>
      <c r="L254" s="39">
        <v>13</v>
      </c>
      <c r="M254" s="39">
        <v>24</v>
      </c>
      <c r="N254" s="39">
        <v>34</v>
      </c>
      <c r="O254" s="39">
        <v>41</v>
      </c>
      <c r="P254" s="39">
        <v>46</v>
      </c>
      <c r="Q254" s="39">
        <v>48</v>
      </c>
      <c r="R254" s="39">
        <v>45</v>
      </c>
      <c r="S254" s="39">
        <v>33</v>
      </c>
      <c r="T254" s="39">
        <v>20</v>
      </c>
      <c r="U254" s="39">
        <v>14</v>
      </c>
      <c r="V254" s="39">
        <v>6</v>
      </c>
      <c r="W254" s="39">
        <v>-2</v>
      </c>
      <c r="X254" s="39">
        <v>-11</v>
      </c>
      <c r="Y254" s="40">
        <v>-20</v>
      </c>
      <c r="Z254" s="41">
        <f t="shared" si="18"/>
        <v>394</v>
      </c>
      <c r="AA254" s="42">
        <f t="shared" si="19"/>
        <v>16.416666666666668</v>
      </c>
    </row>
    <row r="255" spans="1:27" ht="14.1" customHeight="1" x14ac:dyDescent="0.2">
      <c r="A255" s="37">
        <v>22</v>
      </c>
      <c r="B255" s="38">
        <v>-29</v>
      </c>
      <c r="C255" s="39">
        <v>-29</v>
      </c>
      <c r="D255" s="39">
        <v>-9</v>
      </c>
      <c r="E255" s="39">
        <v>11</v>
      </c>
      <c r="F255" s="39">
        <v>21</v>
      </c>
      <c r="G255" s="39">
        <v>28</v>
      </c>
      <c r="H255" s="39">
        <v>33</v>
      </c>
      <c r="I255" s="39">
        <v>37</v>
      </c>
      <c r="J255" s="39">
        <v>38</v>
      </c>
      <c r="K255" s="39">
        <v>36</v>
      </c>
      <c r="L255" s="39">
        <v>36</v>
      </c>
      <c r="M255" s="39">
        <v>40</v>
      </c>
      <c r="N255" s="39">
        <v>45</v>
      </c>
      <c r="O255" s="39">
        <v>50</v>
      </c>
      <c r="P255" s="39">
        <v>55</v>
      </c>
      <c r="Q255" s="39">
        <v>59</v>
      </c>
      <c r="R255" s="39">
        <v>60</v>
      </c>
      <c r="S255" s="39">
        <v>53</v>
      </c>
      <c r="T255" s="39">
        <v>39</v>
      </c>
      <c r="U255" s="39">
        <v>28</v>
      </c>
      <c r="V255" s="39">
        <v>20</v>
      </c>
      <c r="W255" s="39">
        <v>12</v>
      </c>
      <c r="X255" s="39">
        <v>3</v>
      </c>
      <c r="Y255" s="40">
        <v>-7</v>
      </c>
      <c r="Z255" s="41">
        <f t="shared" si="18"/>
        <v>630</v>
      </c>
      <c r="AA255" s="42">
        <f t="shared" si="19"/>
        <v>26.25</v>
      </c>
    </row>
    <row r="256" spans="1:27" ht="14.1" customHeight="1" x14ac:dyDescent="0.2">
      <c r="A256" s="37">
        <v>23</v>
      </c>
      <c r="B256" s="38">
        <v>-17</v>
      </c>
      <c r="C256" s="39">
        <v>-27</v>
      </c>
      <c r="D256" s="39">
        <v>-27</v>
      </c>
      <c r="E256" s="39">
        <v>-7</v>
      </c>
      <c r="F256" s="39">
        <v>13</v>
      </c>
      <c r="G256" s="39">
        <v>24</v>
      </c>
      <c r="H256" s="39">
        <v>32</v>
      </c>
      <c r="I256" s="39">
        <v>38</v>
      </c>
      <c r="J256" s="39">
        <v>42</v>
      </c>
      <c r="K256" s="39">
        <v>42</v>
      </c>
      <c r="L256" s="39">
        <v>39</v>
      </c>
      <c r="M256" s="39">
        <v>35</v>
      </c>
      <c r="N256" s="39">
        <v>35</v>
      </c>
      <c r="O256" s="39">
        <v>41</v>
      </c>
      <c r="P256" s="39">
        <v>50</v>
      </c>
      <c r="Q256" s="39">
        <v>57</v>
      </c>
      <c r="R256" s="39">
        <v>61</v>
      </c>
      <c r="S256" s="39">
        <v>61</v>
      </c>
      <c r="T256" s="39">
        <v>53</v>
      </c>
      <c r="U256" s="39">
        <v>39</v>
      </c>
      <c r="V256" s="39">
        <v>27</v>
      </c>
      <c r="W256" s="39">
        <v>18</v>
      </c>
      <c r="X256" s="39">
        <v>9</v>
      </c>
      <c r="Y256" s="40">
        <v>0</v>
      </c>
      <c r="Z256" s="41">
        <f t="shared" si="18"/>
        <v>638</v>
      </c>
      <c r="AA256" s="42">
        <f t="shared" si="19"/>
        <v>26.583333333333332</v>
      </c>
    </row>
    <row r="257" spans="1:27" ht="14.1" customHeight="1" x14ac:dyDescent="0.2">
      <c r="A257" s="43">
        <v>24</v>
      </c>
      <c r="B257" s="38">
        <v>-10</v>
      </c>
      <c r="C257" s="39">
        <v>-20</v>
      </c>
      <c r="D257" s="39">
        <v>-30</v>
      </c>
      <c r="E257" s="39">
        <v>-27</v>
      </c>
      <c r="F257" s="39">
        <v>-5</v>
      </c>
      <c r="G257" s="39">
        <v>15</v>
      </c>
      <c r="H257" s="39">
        <v>25</v>
      </c>
      <c r="I257" s="39">
        <v>33</v>
      </c>
      <c r="J257" s="39">
        <v>39</v>
      </c>
      <c r="K257" s="39">
        <v>42</v>
      </c>
      <c r="L257" s="39">
        <v>41</v>
      </c>
      <c r="M257" s="39">
        <v>32</v>
      </c>
      <c r="N257" s="39">
        <v>26</v>
      </c>
      <c r="O257" s="39">
        <v>26</v>
      </c>
      <c r="P257" s="39">
        <v>34</v>
      </c>
      <c r="Q257" s="39">
        <v>44</v>
      </c>
      <c r="R257" s="39">
        <v>53</v>
      </c>
      <c r="S257" s="39">
        <v>57</v>
      </c>
      <c r="T257" s="39">
        <v>57</v>
      </c>
      <c r="U257" s="39">
        <v>50</v>
      </c>
      <c r="V257" s="39">
        <v>33</v>
      </c>
      <c r="W257" s="39">
        <v>21</v>
      </c>
      <c r="X257" s="39">
        <v>13</v>
      </c>
      <c r="Y257" s="40">
        <v>5</v>
      </c>
      <c r="Z257" s="41">
        <f t="shared" si="18"/>
        <v>554</v>
      </c>
      <c r="AA257" s="42">
        <f t="shared" si="19"/>
        <v>23.083333333333332</v>
      </c>
    </row>
    <row r="258" spans="1:27" ht="14.1" customHeight="1" x14ac:dyDescent="0.2">
      <c r="A258" s="37">
        <v>25</v>
      </c>
      <c r="B258" s="38">
        <v>-4</v>
      </c>
      <c r="C258" s="39">
        <v>-14</v>
      </c>
      <c r="D258" s="39">
        <v>-25</v>
      </c>
      <c r="E258" s="39">
        <v>-35</v>
      </c>
      <c r="F258" s="39">
        <v>-28</v>
      </c>
      <c r="G258" s="39">
        <v>-5</v>
      </c>
      <c r="H258" s="39">
        <v>13</v>
      </c>
      <c r="I258" s="39">
        <v>23</v>
      </c>
      <c r="J258" s="39">
        <v>30</v>
      </c>
      <c r="K258" s="39">
        <v>36</v>
      </c>
      <c r="L258" s="39">
        <v>38</v>
      </c>
      <c r="M258" s="39">
        <v>34</v>
      </c>
      <c r="N258" s="39">
        <v>24</v>
      </c>
      <c r="O258" s="39">
        <v>18</v>
      </c>
      <c r="P258" s="39">
        <v>19</v>
      </c>
      <c r="Q258" s="39">
        <v>28</v>
      </c>
      <c r="R258" s="39">
        <v>41</v>
      </c>
      <c r="S258" s="39">
        <v>50</v>
      </c>
      <c r="T258" s="39">
        <v>55</v>
      </c>
      <c r="U258" s="39">
        <v>57</v>
      </c>
      <c r="V258" s="39">
        <v>50</v>
      </c>
      <c r="W258" s="39">
        <v>34</v>
      </c>
      <c r="X258" s="39">
        <v>22</v>
      </c>
      <c r="Y258" s="40">
        <v>14</v>
      </c>
      <c r="Z258" s="41">
        <f t="shared" si="18"/>
        <v>475</v>
      </c>
      <c r="AA258" s="42">
        <f t="shared" si="19"/>
        <v>19.791666666666668</v>
      </c>
    </row>
    <row r="259" spans="1:27" ht="14.1" customHeight="1" x14ac:dyDescent="0.2">
      <c r="A259" s="37">
        <v>26</v>
      </c>
      <c r="B259" s="38">
        <v>6</v>
      </c>
      <c r="C259" s="39">
        <v>-4</v>
      </c>
      <c r="D259" s="39">
        <v>-14</v>
      </c>
      <c r="E259" s="39">
        <v>-25</v>
      </c>
      <c r="F259" s="39">
        <v>-30</v>
      </c>
      <c r="G259" s="39">
        <v>-12</v>
      </c>
      <c r="H259" s="39">
        <v>11</v>
      </c>
      <c r="I259" s="39">
        <v>23</v>
      </c>
      <c r="J259" s="39">
        <v>31</v>
      </c>
      <c r="K259" s="39">
        <v>37</v>
      </c>
      <c r="L259" s="39">
        <v>40</v>
      </c>
      <c r="M259" s="39">
        <v>39</v>
      </c>
      <c r="N259" s="39">
        <v>27</v>
      </c>
      <c r="O259" s="39">
        <v>16</v>
      </c>
      <c r="P259" s="39">
        <v>14</v>
      </c>
      <c r="Q259" s="39">
        <v>17</v>
      </c>
      <c r="R259" s="39">
        <v>32</v>
      </c>
      <c r="S259" s="39">
        <v>45</v>
      </c>
      <c r="T259" s="39">
        <v>53</v>
      </c>
      <c r="U259" s="39">
        <v>56</v>
      </c>
      <c r="V259" s="39">
        <v>57</v>
      </c>
      <c r="W259" s="39">
        <v>51</v>
      </c>
      <c r="X259" s="39">
        <v>34</v>
      </c>
      <c r="Y259" s="40">
        <v>22</v>
      </c>
      <c r="Z259" s="41">
        <f t="shared" si="18"/>
        <v>526</v>
      </c>
      <c r="AA259" s="42">
        <f t="shared" si="19"/>
        <v>21.916666666666668</v>
      </c>
    </row>
    <row r="260" spans="1:27" ht="14.1" customHeight="1" x14ac:dyDescent="0.2">
      <c r="A260" s="37">
        <v>27</v>
      </c>
      <c r="B260" s="38">
        <v>15</v>
      </c>
      <c r="C260" s="39">
        <v>6</v>
      </c>
      <c r="D260" s="39">
        <v>-3</v>
      </c>
      <c r="E260" s="39">
        <v>-13</v>
      </c>
      <c r="F260" s="39">
        <v>-24</v>
      </c>
      <c r="G260" s="39">
        <v>-22</v>
      </c>
      <c r="H260" s="39">
        <v>1</v>
      </c>
      <c r="I260" s="39">
        <v>20</v>
      </c>
      <c r="J260" s="39">
        <v>30</v>
      </c>
      <c r="K260" s="39">
        <v>37</v>
      </c>
      <c r="L260" s="39">
        <v>41</v>
      </c>
      <c r="M260" s="39">
        <v>41</v>
      </c>
      <c r="N260" s="39">
        <v>30</v>
      </c>
      <c r="O260" s="39">
        <v>17</v>
      </c>
      <c r="P260" s="39">
        <v>11</v>
      </c>
      <c r="Q260" s="39">
        <v>9</v>
      </c>
      <c r="R260" s="39">
        <v>14</v>
      </c>
      <c r="S260" s="39">
        <v>30</v>
      </c>
      <c r="T260" s="39">
        <v>43</v>
      </c>
      <c r="U260" s="39">
        <v>50</v>
      </c>
      <c r="V260" s="39">
        <v>56</v>
      </c>
      <c r="W260" s="39">
        <v>58</v>
      </c>
      <c r="X260" s="39">
        <v>50</v>
      </c>
      <c r="Y260" s="40">
        <v>33</v>
      </c>
      <c r="Z260" s="41">
        <f t="shared" si="18"/>
        <v>530</v>
      </c>
      <c r="AA260" s="42">
        <f t="shared" si="19"/>
        <v>22.083333333333332</v>
      </c>
    </row>
    <row r="261" spans="1:27" ht="14.1" customHeight="1" x14ac:dyDescent="0.2">
      <c r="A261" s="37">
        <v>28</v>
      </c>
      <c r="B261" s="38">
        <v>22</v>
      </c>
      <c r="C261" s="39">
        <v>14</v>
      </c>
      <c r="D261" s="39">
        <v>5</v>
      </c>
      <c r="E261" s="39">
        <v>-4</v>
      </c>
      <c r="F261" s="39">
        <v>-15</v>
      </c>
      <c r="G261" s="39">
        <v>-22</v>
      </c>
      <c r="H261" s="39">
        <v>-8</v>
      </c>
      <c r="I261" s="39">
        <v>16</v>
      </c>
      <c r="J261" s="39">
        <v>28</v>
      </c>
      <c r="K261" s="39">
        <v>36</v>
      </c>
      <c r="L261" s="39">
        <v>42</v>
      </c>
      <c r="M261" s="39">
        <v>45</v>
      </c>
      <c r="N261" s="39">
        <v>40</v>
      </c>
      <c r="O261" s="39">
        <v>24</v>
      </c>
      <c r="P261" s="39">
        <v>13</v>
      </c>
      <c r="Q261" s="39">
        <v>8</v>
      </c>
      <c r="R261" s="39">
        <v>5</v>
      </c>
      <c r="S261" s="39">
        <v>10</v>
      </c>
      <c r="T261" s="39">
        <v>26</v>
      </c>
      <c r="U261" s="39">
        <v>40</v>
      </c>
      <c r="V261" s="39">
        <v>47</v>
      </c>
      <c r="W261" s="39">
        <v>52</v>
      </c>
      <c r="X261" s="39">
        <v>52</v>
      </c>
      <c r="Y261" s="40">
        <v>40</v>
      </c>
      <c r="Z261" s="41">
        <f t="shared" si="18"/>
        <v>516</v>
      </c>
      <c r="AA261" s="42">
        <f t="shared" si="19"/>
        <v>21.5</v>
      </c>
    </row>
    <row r="262" spans="1:27" ht="14.1" customHeight="1" x14ac:dyDescent="0.2">
      <c r="A262" s="37">
        <v>29</v>
      </c>
      <c r="B262" s="38">
        <v>23</v>
      </c>
      <c r="C262" s="39">
        <v>13</v>
      </c>
      <c r="D262" s="39">
        <v>5</v>
      </c>
      <c r="E262" s="39">
        <v>-4</v>
      </c>
      <c r="F262" s="39">
        <v>-13</v>
      </c>
      <c r="G262" s="39">
        <v>-22</v>
      </c>
      <c r="H262" s="39">
        <v>-15</v>
      </c>
      <c r="I262" s="39">
        <v>9</v>
      </c>
      <c r="J262" s="39">
        <v>23</v>
      </c>
      <c r="K262" s="39">
        <v>33</v>
      </c>
      <c r="L262" s="39">
        <v>39</v>
      </c>
      <c r="M262" s="39">
        <v>44</v>
      </c>
      <c r="N262" s="39">
        <v>43</v>
      </c>
      <c r="O262" s="39">
        <v>29</v>
      </c>
      <c r="P262" s="39">
        <v>15</v>
      </c>
      <c r="Q262" s="39">
        <v>8</v>
      </c>
      <c r="R262" s="39">
        <v>3</v>
      </c>
      <c r="S262" s="39">
        <v>0</v>
      </c>
      <c r="T262" s="39">
        <v>7</v>
      </c>
      <c r="U262" s="39">
        <v>24</v>
      </c>
      <c r="V262" s="39">
        <v>38</v>
      </c>
      <c r="W262" s="39">
        <v>45</v>
      </c>
      <c r="X262" s="39">
        <v>48</v>
      </c>
      <c r="Y262" s="40">
        <v>47</v>
      </c>
      <c r="Z262" s="41">
        <f t="shared" si="18"/>
        <v>442</v>
      </c>
      <c r="AA262" s="42">
        <f t="shared" si="19"/>
        <v>18.416666666666668</v>
      </c>
    </row>
    <row r="263" spans="1:27" ht="14.1" customHeight="1" x14ac:dyDescent="0.2">
      <c r="A263" s="37">
        <v>30</v>
      </c>
      <c r="B263" s="38">
        <v>34</v>
      </c>
      <c r="C263" s="39">
        <v>19</v>
      </c>
      <c r="D263" s="39">
        <v>9</v>
      </c>
      <c r="E263" s="39">
        <v>1</v>
      </c>
      <c r="F263" s="39">
        <v>-8</v>
      </c>
      <c r="G263" s="39">
        <v>-18</v>
      </c>
      <c r="H263" s="39">
        <v>-23</v>
      </c>
      <c r="I263" s="39">
        <v>-5</v>
      </c>
      <c r="J263" s="39">
        <v>15</v>
      </c>
      <c r="K263" s="39">
        <v>25</v>
      </c>
      <c r="L263" s="39">
        <v>32</v>
      </c>
      <c r="M263" s="39">
        <v>37</v>
      </c>
      <c r="N263" s="39">
        <v>38</v>
      </c>
      <c r="O263" s="39">
        <v>28</v>
      </c>
      <c r="P263" s="39">
        <v>12</v>
      </c>
      <c r="Q263" s="39">
        <v>2</v>
      </c>
      <c r="R263" s="39">
        <v>-5</v>
      </c>
      <c r="S263" s="39">
        <v>-10</v>
      </c>
      <c r="T263" s="39">
        <v>-12</v>
      </c>
      <c r="U263" s="39">
        <v>-3</v>
      </c>
      <c r="V263" s="39">
        <v>13</v>
      </c>
      <c r="W263" s="39">
        <v>23</v>
      </c>
      <c r="X263" s="39">
        <v>29</v>
      </c>
      <c r="Y263" s="40">
        <v>32</v>
      </c>
      <c r="Z263" s="41">
        <f t="shared" si="18"/>
        <v>265</v>
      </c>
      <c r="AA263" s="42">
        <f t="shared" si="19"/>
        <v>11.041666666666666</v>
      </c>
    </row>
    <row r="264" spans="1:27" ht="14.1" customHeight="1" x14ac:dyDescent="0.2">
      <c r="A264" s="37">
        <v>31</v>
      </c>
      <c r="B264" s="44">
        <v>26</v>
      </c>
      <c r="C264" s="45">
        <v>10</v>
      </c>
      <c r="D264" s="45">
        <v>-2</v>
      </c>
      <c r="E264" s="45">
        <v>-11</v>
      </c>
      <c r="F264" s="45">
        <v>-20</v>
      </c>
      <c r="G264" s="45">
        <v>-30</v>
      </c>
      <c r="H264" s="45">
        <v>-33</v>
      </c>
      <c r="I264" s="45">
        <v>-17</v>
      </c>
      <c r="J264" s="45">
        <v>4</v>
      </c>
      <c r="K264" s="45">
        <v>15</v>
      </c>
      <c r="L264" s="45">
        <v>23</v>
      </c>
      <c r="M264" s="45">
        <v>29</v>
      </c>
      <c r="N264" s="45">
        <v>32</v>
      </c>
      <c r="O264" s="45">
        <v>28</v>
      </c>
      <c r="P264" s="45">
        <v>13</v>
      </c>
      <c r="Q264" s="45">
        <v>0</v>
      </c>
      <c r="R264" s="45">
        <v>-8</v>
      </c>
      <c r="S264" s="45">
        <v>-16</v>
      </c>
      <c r="T264" s="45">
        <v>-23</v>
      </c>
      <c r="U264" s="45">
        <v>-25</v>
      </c>
      <c r="V264" s="45">
        <v>-19</v>
      </c>
      <c r="W264" s="45">
        <v>-3</v>
      </c>
      <c r="X264" s="45">
        <v>10</v>
      </c>
      <c r="Y264" s="46">
        <v>16</v>
      </c>
      <c r="Z264" s="47">
        <f t="shared" si="18"/>
        <v>-1</v>
      </c>
      <c r="AA264" s="48">
        <f t="shared" si="19"/>
        <v>-4.1666666666666664E-2</v>
      </c>
    </row>
    <row r="265" spans="1:27" ht="14.1" customHeight="1" x14ac:dyDescent="0.2">
      <c r="A265" s="27" t="s">
        <v>7</v>
      </c>
      <c r="B265" s="49">
        <f t="shared" ref="B265:Y265" si="20">SUM(B234:B264)</f>
        <v>238</v>
      </c>
      <c r="C265" s="49">
        <f t="shared" si="20"/>
        <v>77</v>
      </c>
      <c r="D265" s="49">
        <f t="shared" si="20"/>
        <v>-20</v>
      </c>
      <c r="E265" s="49">
        <f t="shared" si="20"/>
        <v>-72</v>
      </c>
      <c r="F265" s="49">
        <f t="shared" si="20"/>
        <v>-110</v>
      </c>
      <c r="G265" s="49">
        <f t="shared" si="20"/>
        <v>-80</v>
      </c>
      <c r="H265" s="49">
        <f t="shared" si="20"/>
        <v>47</v>
      </c>
      <c r="I265" s="49">
        <f t="shared" si="20"/>
        <v>251</v>
      </c>
      <c r="J265" s="49">
        <f t="shared" si="20"/>
        <v>467</v>
      </c>
      <c r="K265" s="49">
        <f t="shared" si="20"/>
        <v>713</v>
      </c>
      <c r="L265" s="49">
        <f t="shared" si="20"/>
        <v>918</v>
      </c>
      <c r="M265" s="49">
        <f t="shared" si="20"/>
        <v>1051</v>
      </c>
      <c r="N265" s="49">
        <f t="shared" si="20"/>
        <v>1090</v>
      </c>
      <c r="O265" s="49">
        <f t="shared" si="20"/>
        <v>1052</v>
      </c>
      <c r="P265" s="49">
        <f t="shared" si="20"/>
        <v>1001</v>
      </c>
      <c r="Q265" s="50">
        <f t="shared" si="20"/>
        <v>962</v>
      </c>
      <c r="R265" s="49">
        <f t="shared" si="20"/>
        <v>920</v>
      </c>
      <c r="S265" s="49">
        <f t="shared" si="20"/>
        <v>866</v>
      </c>
      <c r="T265" s="49">
        <f t="shared" si="20"/>
        <v>807</v>
      </c>
      <c r="U265" s="49">
        <f t="shared" si="20"/>
        <v>757</v>
      </c>
      <c r="V265" s="49">
        <f t="shared" si="20"/>
        <v>685</v>
      </c>
      <c r="W265" s="49">
        <f t="shared" si="20"/>
        <v>609</v>
      </c>
      <c r="X265" s="49">
        <f t="shared" si="20"/>
        <v>499</v>
      </c>
      <c r="Y265" s="49">
        <f t="shared" si="20"/>
        <v>370</v>
      </c>
      <c r="Z265" s="51">
        <f>SUM(B234:Y264)</f>
        <v>13098</v>
      </c>
      <c r="AA265" s="52">
        <f>AVERAGE(B234:Y264)</f>
        <v>17.60483870967742</v>
      </c>
    </row>
    <row r="266" spans="1:27" ht="14.1" customHeight="1" x14ac:dyDescent="0.25">
      <c r="A266" s="53" t="s">
        <v>10</v>
      </c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 spans="1:27" ht="14.1" customHeight="1" x14ac:dyDescent="0.25">
      <c r="A267" s="55" t="str">
        <f>A229</f>
        <v>Trạm: Gò Dầu Hạ</v>
      </c>
      <c r="B267" s="2"/>
      <c r="C267" s="3"/>
      <c r="D267" s="4"/>
      <c r="E267" s="5"/>
      <c r="F267" s="5"/>
      <c r="G267" s="5"/>
      <c r="H267" s="5"/>
      <c r="I267" s="6"/>
      <c r="J267" s="4"/>
      <c r="K267" s="5"/>
      <c r="L267" s="5"/>
      <c r="M267" s="5"/>
      <c r="N267" s="5"/>
      <c r="O267" s="4"/>
      <c r="P267" s="6"/>
      <c r="Q267" s="4"/>
      <c r="R267" s="5"/>
      <c r="S267" s="5"/>
      <c r="T267" s="5"/>
      <c r="U267" s="5"/>
      <c r="V267" s="6"/>
      <c r="W267" s="4"/>
      <c r="X267" s="7"/>
      <c r="Y267" s="5"/>
      <c r="Z267" s="5"/>
      <c r="AA267" s="5"/>
    </row>
    <row r="268" spans="1:27" ht="14.1" customHeight="1" x14ac:dyDescent="0.25">
      <c r="A268" s="55" t="str">
        <f>A230</f>
        <v>Sông: Vàm Cỏ Đông</v>
      </c>
      <c r="B268" s="2"/>
      <c r="C268" s="2"/>
      <c r="D268" s="9"/>
      <c r="E268" s="10"/>
      <c r="F268" s="10"/>
      <c r="G268" s="10"/>
      <c r="H268" s="10"/>
      <c r="I268" s="11"/>
      <c r="J268" s="11"/>
      <c r="K268" s="5"/>
      <c r="L268" s="5"/>
      <c r="M268" s="12" t="s">
        <v>2</v>
      </c>
      <c r="N268" s="13"/>
      <c r="O268" s="13"/>
      <c r="P268" s="13"/>
      <c r="Q268" s="14"/>
      <c r="R268" s="14"/>
      <c r="S268" s="10"/>
      <c r="T268" s="10"/>
      <c r="U268" s="10"/>
      <c r="V268" s="11"/>
      <c r="W268" s="11"/>
      <c r="X268" s="7"/>
      <c r="Y268" s="5"/>
      <c r="Z268" s="5"/>
      <c r="AA268" s="5"/>
    </row>
    <row r="269" spans="1:27" ht="14.1" customHeight="1" x14ac:dyDescent="0.25">
      <c r="A269" s="56" t="s">
        <v>3</v>
      </c>
      <c r="B269" s="16">
        <f>B231+1</f>
        <v>8</v>
      </c>
      <c r="C269" s="16"/>
      <c r="D269" s="17"/>
      <c r="E269" s="9"/>
      <c r="F269" s="18"/>
      <c r="G269" s="10"/>
      <c r="H269" s="10"/>
      <c r="I269" s="10"/>
      <c r="J269" s="4"/>
      <c r="K269" s="5"/>
      <c r="L269" s="5"/>
      <c r="M269" s="19"/>
      <c r="N269" s="20" t="s">
        <v>4</v>
      </c>
      <c r="O269" s="22">
        <f>O231</f>
        <v>2025</v>
      </c>
      <c r="P269" s="22"/>
      <c r="Q269" s="13"/>
      <c r="R269" s="14"/>
      <c r="S269" s="18"/>
      <c r="T269" s="10"/>
      <c r="U269" s="10"/>
      <c r="V269" s="10"/>
      <c r="W269" s="4"/>
      <c r="X269" s="23" t="s">
        <v>5</v>
      </c>
      <c r="Y269" s="5"/>
      <c r="Z269" s="5"/>
      <c r="AA269" s="5"/>
    </row>
    <row r="270" spans="1:27" ht="14.1" customHeight="1" x14ac:dyDescent="0.2">
      <c r="A270" s="24" t="s">
        <v>6</v>
      </c>
      <c r="B270" s="25">
        <v>0</v>
      </c>
      <c r="C270" s="26">
        <v>1</v>
      </c>
      <c r="D270" s="25">
        <v>2</v>
      </c>
      <c r="E270" s="25">
        <v>3</v>
      </c>
      <c r="F270" s="26">
        <v>4</v>
      </c>
      <c r="G270" s="25">
        <v>5</v>
      </c>
      <c r="H270" s="25">
        <v>6</v>
      </c>
      <c r="I270" s="26">
        <v>7</v>
      </c>
      <c r="J270" s="25">
        <v>8</v>
      </c>
      <c r="K270" s="25">
        <v>9</v>
      </c>
      <c r="L270" s="25">
        <v>10</v>
      </c>
      <c r="M270" s="25">
        <v>11</v>
      </c>
      <c r="N270" s="25">
        <v>12</v>
      </c>
      <c r="O270" s="25">
        <v>13</v>
      </c>
      <c r="P270" s="26">
        <v>14</v>
      </c>
      <c r="Q270" s="25">
        <v>15</v>
      </c>
      <c r="R270" s="26">
        <v>16</v>
      </c>
      <c r="S270" s="25">
        <v>17</v>
      </c>
      <c r="T270" s="26">
        <v>18</v>
      </c>
      <c r="U270" s="25">
        <v>19</v>
      </c>
      <c r="V270" s="26">
        <v>20</v>
      </c>
      <c r="W270" s="25">
        <v>21</v>
      </c>
      <c r="X270" s="26">
        <v>22</v>
      </c>
      <c r="Y270" s="25">
        <v>23</v>
      </c>
      <c r="Z270" s="27" t="s">
        <v>7</v>
      </c>
      <c r="AA270" s="27" t="s">
        <v>8</v>
      </c>
    </row>
    <row r="271" spans="1:27" ht="14.1" customHeight="1" x14ac:dyDescent="0.2">
      <c r="A271" s="28" t="s">
        <v>9</v>
      </c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30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 spans="1:27" ht="14.1" customHeight="1" x14ac:dyDescent="0.2">
      <c r="A272" s="31">
        <v>1</v>
      </c>
      <c r="B272" s="32">
        <v>18</v>
      </c>
      <c r="C272" s="33">
        <v>13</v>
      </c>
      <c r="D272" s="33">
        <v>-3</v>
      </c>
      <c r="E272" s="33">
        <v>-16</v>
      </c>
      <c r="F272" s="33">
        <v>-24</v>
      </c>
      <c r="G272" s="33">
        <v>-32</v>
      </c>
      <c r="H272" s="33">
        <v>-38</v>
      </c>
      <c r="I272" s="33">
        <v>-32</v>
      </c>
      <c r="J272" s="33">
        <v>-8</v>
      </c>
      <c r="K272" s="33">
        <v>6</v>
      </c>
      <c r="L272" s="33">
        <v>14</v>
      </c>
      <c r="M272" s="33">
        <v>21</v>
      </c>
      <c r="N272" s="33">
        <v>25</v>
      </c>
      <c r="O272" s="33">
        <v>25</v>
      </c>
      <c r="P272" s="33">
        <v>14</v>
      </c>
      <c r="Q272" s="33">
        <v>-2</v>
      </c>
      <c r="R272" s="33">
        <v>-12</v>
      </c>
      <c r="S272" s="33">
        <v>-20</v>
      </c>
      <c r="T272" s="33">
        <v>-27</v>
      </c>
      <c r="U272" s="33">
        <v>-35</v>
      </c>
      <c r="V272" s="33">
        <v>-39</v>
      </c>
      <c r="W272" s="33">
        <v>-31</v>
      </c>
      <c r="X272" s="33">
        <v>-15</v>
      </c>
      <c r="Y272" s="34">
        <v>-4</v>
      </c>
      <c r="Z272" s="35">
        <f t="shared" ref="Z272:Z302" si="21">SUM(B272:Y272)</f>
        <v>-202</v>
      </c>
      <c r="AA272" s="36">
        <f t="shared" ref="AA272:AA302" si="22">AVERAGE(B272:Y272)</f>
        <v>-8.4166666666666661</v>
      </c>
    </row>
    <row r="273" spans="1:27" ht="14.1" customHeight="1" x14ac:dyDescent="0.2">
      <c r="A273" s="37">
        <v>2</v>
      </c>
      <c r="B273" s="38">
        <v>2</v>
      </c>
      <c r="C273" s="39">
        <v>4</v>
      </c>
      <c r="D273" s="39">
        <v>1</v>
      </c>
      <c r="E273" s="39">
        <v>-12</v>
      </c>
      <c r="F273" s="39">
        <v>-22</v>
      </c>
      <c r="G273" s="39">
        <v>-28</v>
      </c>
      <c r="H273" s="39">
        <v>-32</v>
      </c>
      <c r="I273" s="39">
        <v>-29</v>
      </c>
      <c r="J273" s="39">
        <v>-15</v>
      </c>
      <c r="K273" s="39">
        <v>0</v>
      </c>
      <c r="L273" s="39">
        <v>9</v>
      </c>
      <c r="M273" s="39">
        <v>15</v>
      </c>
      <c r="N273" s="39">
        <v>20</v>
      </c>
      <c r="O273" s="39">
        <v>23</v>
      </c>
      <c r="P273" s="39">
        <v>19</v>
      </c>
      <c r="Q273" s="39">
        <v>5</v>
      </c>
      <c r="R273" s="39">
        <v>-8</v>
      </c>
      <c r="S273" s="39">
        <v>-17</v>
      </c>
      <c r="T273" s="39">
        <v>-26</v>
      </c>
      <c r="U273" s="39">
        <v>-35</v>
      </c>
      <c r="V273" s="39">
        <v>-42</v>
      </c>
      <c r="W273" s="39">
        <v>-47</v>
      </c>
      <c r="X273" s="39">
        <v>-42</v>
      </c>
      <c r="Y273" s="40">
        <v>-28</v>
      </c>
      <c r="Z273" s="41">
        <f t="shared" si="21"/>
        <v>-285</v>
      </c>
      <c r="AA273" s="42">
        <f t="shared" si="22"/>
        <v>-11.875</v>
      </c>
    </row>
    <row r="274" spans="1:27" ht="14.1" customHeight="1" x14ac:dyDescent="0.2">
      <c r="A274" s="37">
        <v>3</v>
      </c>
      <c r="B274" s="38">
        <v>-15</v>
      </c>
      <c r="C274" s="39">
        <v>-8</v>
      </c>
      <c r="D274" s="39">
        <v>-4</v>
      </c>
      <c r="E274" s="39">
        <v>-3</v>
      </c>
      <c r="F274" s="39">
        <v>-7</v>
      </c>
      <c r="G274" s="39">
        <v>-13</v>
      </c>
      <c r="H274" s="39">
        <v>-15</v>
      </c>
      <c r="I274" s="39">
        <v>-11</v>
      </c>
      <c r="J274" s="39">
        <v>0</v>
      </c>
      <c r="K274" s="39">
        <v>9</v>
      </c>
      <c r="L274" s="39">
        <v>17</v>
      </c>
      <c r="M274" s="39">
        <v>23</v>
      </c>
      <c r="N274" s="39">
        <v>27</v>
      </c>
      <c r="O274" s="39">
        <v>30</v>
      </c>
      <c r="P274" s="39">
        <v>28</v>
      </c>
      <c r="Q274" s="39">
        <v>18</v>
      </c>
      <c r="R274" s="39">
        <v>4</v>
      </c>
      <c r="S274" s="39">
        <v>-6</v>
      </c>
      <c r="T274" s="39">
        <v>-14</v>
      </c>
      <c r="U274" s="39">
        <v>-23</v>
      </c>
      <c r="V274" s="39">
        <v>-33</v>
      </c>
      <c r="W274" s="39">
        <v>-41</v>
      </c>
      <c r="X274" s="39">
        <v>-48</v>
      </c>
      <c r="Y274" s="40">
        <v>-48</v>
      </c>
      <c r="Z274" s="41">
        <f t="shared" si="21"/>
        <v>-133</v>
      </c>
      <c r="AA274" s="42">
        <f t="shared" si="22"/>
        <v>-5.541666666666667</v>
      </c>
    </row>
    <row r="275" spans="1:27" ht="14.1" customHeight="1" x14ac:dyDescent="0.2">
      <c r="A275" s="37">
        <v>4</v>
      </c>
      <c r="B275" s="38">
        <v>-36</v>
      </c>
      <c r="C275" s="39">
        <v>-22</v>
      </c>
      <c r="D275" s="39">
        <v>-12</v>
      </c>
      <c r="E275" s="39">
        <v>-5</v>
      </c>
      <c r="F275" s="39">
        <v>-1</v>
      </c>
      <c r="G275" s="39">
        <v>3</v>
      </c>
      <c r="H275" s="39">
        <v>6</v>
      </c>
      <c r="I275" s="39">
        <v>10</v>
      </c>
      <c r="J275" s="39">
        <v>16</v>
      </c>
      <c r="K275" s="39">
        <v>21</v>
      </c>
      <c r="L275" s="39">
        <v>25</v>
      </c>
      <c r="M275" s="39">
        <v>29</v>
      </c>
      <c r="N275" s="39">
        <v>32</v>
      </c>
      <c r="O275" s="39">
        <v>34</v>
      </c>
      <c r="P275" s="39">
        <v>35</v>
      </c>
      <c r="Q275" s="39">
        <v>29</v>
      </c>
      <c r="R275" s="39">
        <v>18</v>
      </c>
      <c r="S275" s="39">
        <v>8</v>
      </c>
      <c r="T275" s="39">
        <v>-1</v>
      </c>
      <c r="U275" s="39">
        <v>-10</v>
      </c>
      <c r="V275" s="39">
        <v>-20</v>
      </c>
      <c r="W275" s="39">
        <v>-30</v>
      </c>
      <c r="X275" s="39">
        <v>-41</v>
      </c>
      <c r="Y275" s="40">
        <v>-48</v>
      </c>
      <c r="Z275" s="41">
        <f t="shared" si="21"/>
        <v>40</v>
      </c>
      <c r="AA275" s="42">
        <f t="shared" si="22"/>
        <v>1.6666666666666667</v>
      </c>
    </row>
    <row r="276" spans="1:27" ht="14.1" customHeight="1" x14ac:dyDescent="0.2">
      <c r="A276" s="37">
        <v>5</v>
      </c>
      <c r="B276" s="38">
        <v>-48</v>
      </c>
      <c r="C276" s="39">
        <v>-33</v>
      </c>
      <c r="D276" s="39">
        <v>-15</v>
      </c>
      <c r="E276" s="39">
        <v>-4</v>
      </c>
      <c r="F276" s="39">
        <v>2</v>
      </c>
      <c r="G276" s="39">
        <v>8</v>
      </c>
      <c r="H276" s="39">
        <v>13</v>
      </c>
      <c r="I276" s="39">
        <v>17</v>
      </c>
      <c r="J276" s="39">
        <v>20</v>
      </c>
      <c r="K276" s="39">
        <v>23</v>
      </c>
      <c r="L276" s="39">
        <v>26</v>
      </c>
      <c r="M276" s="39">
        <v>29</v>
      </c>
      <c r="N276" s="39">
        <v>32</v>
      </c>
      <c r="O276" s="39">
        <v>33</v>
      </c>
      <c r="P276" s="39">
        <v>33</v>
      </c>
      <c r="Q276" s="39">
        <v>32</v>
      </c>
      <c r="R276" s="39">
        <v>25</v>
      </c>
      <c r="S276" s="39">
        <v>16</v>
      </c>
      <c r="T276" s="39">
        <v>7</v>
      </c>
      <c r="U276" s="39">
        <v>-2</v>
      </c>
      <c r="V276" s="39">
        <v>-13</v>
      </c>
      <c r="W276" s="39">
        <v>-22</v>
      </c>
      <c r="X276" s="39">
        <v>-34</v>
      </c>
      <c r="Y276" s="40">
        <v>-46</v>
      </c>
      <c r="Z276" s="41">
        <f t="shared" si="21"/>
        <v>99</v>
      </c>
      <c r="AA276" s="42">
        <f t="shared" si="22"/>
        <v>4.125</v>
      </c>
    </row>
    <row r="277" spans="1:27" ht="14.1" customHeight="1" x14ac:dyDescent="0.2">
      <c r="A277" s="37">
        <v>6</v>
      </c>
      <c r="B277" s="38">
        <v>-56</v>
      </c>
      <c r="C277" s="39">
        <v>-57</v>
      </c>
      <c r="D277" s="39">
        <v>-39</v>
      </c>
      <c r="E277" s="39">
        <v>-18</v>
      </c>
      <c r="F277" s="39">
        <v>-7</v>
      </c>
      <c r="G277" s="39">
        <v>2</v>
      </c>
      <c r="H277" s="39">
        <v>9</v>
      </c>
      <c r="I277" s="39">
        <v>15</v>
      </c>
      <c r="J277" s="39">
        <v>20</v>
      </c>
      <c r="K277" s="39">
        <v>22</v>
      </c>
      <c r="L277" s="39">
        <v>23</v>
      </c>
      <c r="M277" s="39">
        <v>25</v>
      </c>
      <c r="N277" s="39">
        <v>28</v>
      </c>
      <c r="O277" s="39">
        <v>30</v>
      </c>
      <c r="P277" s="39">
        <v>33</v>
      </c>
      <c r="Q277" s="39">
        <v>36</v>
      </c>
      <c r="R277" s="39">
        <v>37</v>
      </c>
      <c r="S277" s="39">
        <v>31</v>
      </c>
      <c r="T277" s="39">
        <v>20</v>
      </c>
      <c r="U277" s="39">
        <v>10</v>
      </c>
      <c r="V277" s="39">
        <v>0</v>
      </c>
      <c r="W277" s="39">
        <v>-10</v>
      </c>
      <c r="X277" s="39">
        <v>-20</v>
      </c>
      <c r="Y277" s="40">
        <v>-31</v>
      </c>
      <c r="Z277" s="41">
        <f t="shared" si="21"/>
        <v>103</v>
      </c>
      <c r="AA277" s="42">
        <f t="shared" si="22"/>
        <v>4.291666666666667</v>
      </c>
    </row>
    <row r="278" spans="1:27" ht="14.1" customHeight="1" x14ac:dyDescent="0.2">
      <c r="A278" s="37">
        <v>7</v>
      </c>
      <c r="B278" s="38">
        <v>-43</v>
      </c>
      <c r="C278" s="39">
        <v>-52</v>
      </c>
      <c r="D278" s="39">
        <v>-47</v>
      </c>
      <c r="E278" s="39">
        <v>-21</v>
      </c>
      <c r="F278" s="39">
        <v>-4</v>
      </c>
      <c r="G278" s="39">
        <v>5</v>
      </c>
      <c r="H278" s="39">
        <v>13</v>
      </c>
      <c r="I278" s="39">
        <v>19</v>
      </c>
      <c r="J278" s="39">
        <v>24</v>
      </c>
      <c r="K278" s="39">
        <v>26</v>
      </c>
      <c r="L278" s="39">
        <v>25</v>
      </c>
      <c r="M278" s="39">
        <v>22</v>
      </c>
      <c r="N278" s="39">
        <v>21</v>
      </c>
      <c r="O278" s="39">
        <v>26</v>
      </c>
      <c r="P278" s="39">
        <v>32</v>
      </c>
      <c r="Q278" s="39">
        <v>38</v>
      </c>
      <c r="R278" s="39">
        <v>42</v>
      </c>
      <c r="S278" s="39">
        <v>43</v>
      </c>
      <c r="T278" s="39">
        <v>37</v>
      </c>
      <c r="U278" s="39">
        <v>24</v>
      </c>
      <c r="V278" s="39">
        <v>11</v>
      </c>
      <c r="W278" s="39">
        <v>2</v>
      </c>
      <c r="X278" s="39">
        <v>-8</v>
      </c>
      <c r="Y278" s="40">
        <v>-18</v>
      </c>
      <c r="Z278" s="41">
        <f t="shared" si="21"/>
        <v>217</v>
      </c>
      <c r="AA278" s="42">
        <f t="shared" si="22"/>
        <v>9.0416666666666661</v>
      </c>
    </row>
    <row r="279" spans="1:27" ht="14.1" customHeight="1" x14ac:dyDescent="0.2">
      <c r="A279" s="37">
        <v>8</v>
      </c>
      <c r="B279" s="38">
        <v>-29</v>
      </c>
      <c r="C279" s="39">
        <v>-41</v>
      </c>
      <c r="D279" s="39">
        <v>-50</v>
      </c>
      <c r="E279" s="39">
        <v>-39</v>
      </c>
      <c r="F279" s="39">
        <v>-13</v>
      </c>
      <c r="G279" s="39">
        <v>2</v>
      </c>
      <c r="H279" s="39">
        <v>11</v>
      </c>
      <c r="I279" s="39">
        <v>19</v>
      </c>
      <c r="J279" s="39">
        <v>27</v>
      </c>
      <c r="K279" s="39">
        <v>30</v>
      </c>
      <c r="L279" s="39">
        <v>30</v>
      </c>
      <c r="M279" s="39">
        <v>23</v>
      </c>
      <c r="N279" s="39">
        <v>16</v>
      </c>
      <c r="O279" s="39">
        <v>16</v>
      </c>
      <c r="P279" s="39">
        <v>23</v>
      </c>
      <c r="Q279" s="39">
        <v>33</v>
      </c>
      <c r="R279" s="39">
        <v>41</v>
      </c>
      <c r="S279" s="39">
        <v>45</v>
      </c>
      <c r="T279" s="39">
        <v>46</v>
      </c>
      <c r="U279" s="39">
        <v>38</v>
      </c>
      <c r="V279" s="39">
        <v>22</v>
      </c>
      <c r="W279" s="39">
        <v>10</v>
      </c>
      <c r="X279" s="39">
        <v>2</v>
      </c>
      <c r="Y279" s="40">
        <v>-8</v>
      </c>
      <c r="Z279" s="41">
        <f t="shared" si="21"/>
        <v>254</v>
      </c>
      <c r="AA279" s="42">
        <f t="shared" si="22"/>
        <v>10.583333333333334</v>
      </c>
    </row>
    <row r="280" spans="1:27" ht="14.1" customHeight="1" x14ac:dyDescent="0.2">
      <c r="A280" s="37">
        <v>9</v>
      </c>
      <c r="B280" s="38">
        <v>-19</v>
      </c>
      <c r="C280" s="39">
        <v>-29</v>
      </c>
      <c r="D280" s="39">
        <v>-41</v>
      </c>
      <c r="E280" s="39">
        <v>-44</v>
      </c>
      <c r="F280" s="39">
        <v>-20</v>
      </c>
      <c r="G280" s="39">
        <v>2</v>
      </c>
      <c r="H280" s="39">
        <v>13</v>
      </c>
      <c r="I280" s="39">
        <v>21</v>
      </c>
      <c r="J280" s="39">
        <v>29</v>
      </c>
      <c r="K280" s="39">
        <v>33</v>
      </c>
      <c r="L280" s="39">
        <v>33</v>
      </c>
      <c r="M280" s="39">
        <v>24</v>
      </c>
      <c r="N280" s="39">
        <v>13</v>
      </c>
      <c r="O280" s="39">
        <v>10</v>
      </c>
      <c r="P280" s="39">
        <v>16</v>
      </c>
      <c r="Q280" s="39">
        <v>29</v>
      </c>
      <c r="R280" s="39">
        <v>41</v>
      </c>
      <c r="S280" s="39">
        <v>48</v>
      </c>
      <c r="T280" s="39">
        <v>51</v>
      </c>
      <c r="U280" s="39">
        <v>53</v>
      </c>
      <c r="V280" s="39">
        <v>45</v>
      </c>
      <c r="W280" s="39">
        <v>28</v>
      </c>
      <c r="X280" s="39">
        <v>17</v>
      </c>
      <c r="Y280" s="40">
        <v>9</v>
      </c>
      <c r="Z280" s="41">
        <f t="shared" si="21"/>
        <v>362</v>
      </c>
      <c r="AA280" s="42">
        <f t="shared" si="22"/>
        <v>15.083333333333334</v>
      </c>
    </row>
    <row r="281" spans="1:27" ht="14.1" customHeight="1" x14ac:dyDescent="0.2">
      <c r="A281" s="37">
        <v>10</v>
      </c>
      <c r="B281" s="38">
        <v>0</v>
      </c>
      <c r="C281" s="39">
        <v>-10</v>
      </c>
      <c r="D281" s="39">
        <v>-21</v>
      </c>
      <c r="E281" s="39">
        <v>-31</v>
      </c>
      <c r="F281" s="39">
        <v>-31</v>
      </c>
      <c r="G281" s="39">
        <v>-5</v>
      </c>
      <c r="H281" s="39">
        <v>15</v>
      </c>
      <c r="I281" s="39">
        <v>25</v>
      </c>
      <c r="J281" s="39">
        <v>31</v>
      </c>
      <c r="K281" s="39">
        <v>35</v>
      </c>
      <c r="L281" s="39">
        <v>33</v>
      </c>
      <c r="M281" s="39">
        <v>20</v>
      </c>
      <c r="N281" s="39">
        <v>7</v>
      </c>
      <c r="O281" s="39">
        <v>3</v>
      </c>
      <c r="P281" s="39">
        <v>6</v>
      </c>
      <c r="Q281" s="39">
        <v>20</v>
      </c>
      <c r="R281" s="39">
        <v>36</v>
      </c>
      <c r="S281" s="39">
        <v>44</v>
      </c>
      <c r="T281" s="39">
        <v>50</v>
      </c>
      <c r="U281" s="39">
        <v>51</v>
      </c>
      <c r="V281" s="39">
        <v>51</v>
      </c>
      <c r="W281" s="39">
        <v>47</v>
      </c>
      <c r="X281" s="39">
        <v>31</v>
      </c>
      <c r="Y281" s="40">
        <v>18</v>
      </c>
      <c r="Z281" s="41">
        <f t="shared" si="21"/>
        <v>425</v>
      </c>
      <c r="AA281" s="42">
        <f t="shared" si="22"/>
        <v>17.708333333333332</v>
      </c>
    </row>
    <row r="282" spans="1:27" ht="14.1" customHeight="1" x14ac:dyDescent="0.2">
      <c r="A282" s="37">
        <v>11</v>
      </c>
      <c r="B282" s="38">
        <v>10</v>
      </c>
      <c r="C282" s="39">
        <v>1</v>
      </c>
      <c r="D282" s="39">
        <v>-9</v>
      </c>
      <c r="E282" s="39">
        <v>-19</v>
      </c>
      <c r="F282" s="39">
        <v>-29</v>
      </c>
      <c r="G282" s="39">
        <v>-17</v>
      </c>
      <c r="H282" s="39">
        <v>10</v>
      </c>
      <c r="I282" s="39">
        <v>25</v>
      </c>
      <c r="J282" s="39">
        <v>32</v>
      </c>
      <c r="K282" s="39">
        <v>37</v>
      </c>
      <c r="L282" s="39">
        <v>39</v>
      </c>
      <c r="M282" s="39">
        <v>30</v>
      </c>
      <c r="N282" s="39">
        <v>15</v>
      </c>
      <c r="O282" s="39">
        <v>5</v>
      </c>
      <c r="P282" s="39">
        <v>1</v>
      </c>
      <c r="Q282" s="39">
        <v>1</v>
      </c>
      <c r="R282" s="39">
        <v>14</v>
      </c>
      <c r="S282" s="39">
        <v>31</v>
      </c>
      <c r="T282" s="39">
        <v>40</v>
      </c>
      <c r="U282" s="39">
        <v>47</v>
      </c>
      <c r="V282" s="39">
        <v>52</v>
      </c>
      <c r="W282" s="39">
        <v>53</v>
      </c>
      <c r="X282" s="39">
        <v>46</v>
      </c>
      <c r="Y282" s="40">
        <v>30</v>
      </c>
      <c r="Z282" s="41">
        <f t="shared" si="21"/>
        <v>445</v>
      </c>
      <c r="AA282" s="42">
        <f t="shared" si="22"/>
        <v>18.541666666666668</v>
      </c>
    </row>
    <row r="283" spans="1:27" ht="14.1" customHeight="1" x14ac:dyDescent="0.2">
      <c r="A283" s="37">
        <v>12</v>
      </c>
      <c r="B283" s="38">
        <v>19</v>
      </c>
      <c r="C283" s="39">
        <v>11</v>
      </c>
      <c r="D283" s="39">
        <v>3</v>
      </c>
      <c r="E283" s="39">
        <v>-6</v>
      </c>
      <c r="F283" s="39">
        <v>-16</v>
      </c>
      <c r="G283" s="39">
        <v>-17</v>
      </c>
      <c r="H283" s="39">
        <v>7</v>
      </c>
      <c r="I283" s="39">
        <v>27</v>
      </c>
      <c r="J283" s="39">
        <v>36</v>
      </c>
      <c r="K283" s="39">
        <v>42</v>
      </c>
      <c r="L283" s="39">
        <v>46</v>
      </c>
      <c r="M283" s="39">
        <v>42</v>
      </c>
      <c r="N283" s="39">
        <v>27</v>
      </c>
      <c r="O283" s="39">
        <v>14</v>
      </c>
      <c r="P283" s="39">
        <v>7</v>
      </c>
      <c r="Q283" s="39">
        <v>1</v>
      </c>
      <c r="R283" s="39">
        <v>-1</v>
      </c>
      <c r="S283" s="39">
        <v>-15</v>
      </c>
      <c r="T283" s="39">
        <v>36</v>
      </c>
      <c r="U283" s="39">
        <v>45</v>
      </c>
      <c r="V283" s="39">
        <v>51</v>
      </c>
      <c r="W283" s="39">
        <v>54</v>
      </c>
      <c r="X283" s="39">
        <v>54</v>
      </c>
      <c r="Y283" s="40">
        <v>42</v>
      </c>
      <c r="Z283" s="41">
        <f t="shared" si="21"/>
        <v>509</v>
      </c>
      <c r="AA283" s="42">
        <f t="shared" si="22"/>
        <v>21.208333333333332</v>
      </c>
    </row>
    <row r="284" spans="1:27" ht="14.1" customHeight="1" x14ac:dyDescent="0.2">
      <c r="A284" s="37">
        <v>13</v>
      </c>
      <c r="B284" s="38">
        <v>25</v>
      </c>
      <c r="C284" s="39">
        <v>16</v>
      </c>
      <c r="D284" s="39">
        <v>9</v>
      </c>
      <c r="E284" s="39">
        <v>0</v>
      </c>
      <c r="F284" s="39">
        <v>-10</v>
      </c>
      <c r="G284" s="39">
        <v>-17</v>
      </c>
      <c r="H284" s="39">
        <v>-3</v>
      </c>
      <c r="I284" s="39">
        <v>22</v>
      </c>
      <c r="J284" s="39">
        <v>33</v>
      </c>
      <c r="K284" s="39">
        <v>41</v>
      </c>
      <c r="L284" s="39">
        <v>46</v>
      </c>
      <c r="M284" s="39">
        <v>47</v>
      </c>
      <c r="N284" s="39">
        <v>37</v>
      </c>
      <c r="O284" s="39">
        <v>20</v>
      </c>
      <c r="P284" s="39">
        <v>10</v>
      </c>
      <c r="Q284" s="39">
        <v>3</v>
      </c>
      <c r="R284" s="39">
        <v>-3</v>
      </c>
      <c r="S284" s="39">
        <v>-4</v>
      </c>
      <c r="T284" s="39">
        <v>15</v>
      </c>
      <c r="U284" s="39">
        <v>31</v>
      </c>
      <c r="V284" s="39">
        <v>41</v>
      </c>
      <c r="W284" s="39">
        <v>46</v>
      </c>
      <c r="X284" s="39">
        <v>49</v>
      </c>
      <c r="Y284" s="40">
        <v>47</v>
      </c>
      <c r="Z284" s="41">
        <f t="shared" si="21"/>
        <v>501</v>
      </c>
      <c r="AA284" s="42">
        <f t="shared" si="22"/>
        <v>20.875</v>
      </c>
    </row>
    <row r="285" spans="1:27" ht="14.1" customHeight="1" x14ac:dyDescent="0.2">
      <c r="A285" s="37">
        <v>14</v>
      </c>
      <c r="B285" s="38">
        <v>31</v>
      </c>
      <c r="C285" s="39">
        <v>18</v>
      </c>
      <c r="D285" s="39">
        <v>9</v>
      </c>
      <c r="E285" s="39">
        <v>0</v>
      </c>
      <c r="F285" s="39">
        <v>-10</v>
      </c>
      <c r="G285" s="39">
        <v>-18</v>
      </c>
      <c r="H285" s="39">
        <v>-15</v>
      </c>
      <c r="I285" s="39">
        <v>11</v>
      </c>
      <c r="J285" s="39">
        <v>28</v>
      </c>
      <c r="K285" s="39">
        <v>37</v>
      </c>
      <c r="L285" s="39">
        <v>44</v>
      </c>
      <c r="M285" s="39">
        <v>47</v>
      </c>
      <c r="N285" s="39">
        <v>44</v>
      </c>
      <c r="O285" s="39">
        <v>28</v>
      </c>
      <c r="P285" s="39">
        <v>13</v>
      </c>
      <c r="Q285" s="39">
        <v>6</v>
      </c>
      <c r="R285" s="39">
        <v>-2</v>
      </c>
      <c r="S285" s="39">
        <v>-9</v>
      </c>
      <c r="T285" s="39">
        <v>-8</v>
      </c>
      <c r="U285" s="39">
        <v>15</v>
      </c>
      <c r="V285" s="39">
        <v>36</v>
      </c>
      <c r="W285" s="39">
        <v>46</v>
      </c>
      <c r="X285" s="39">
        <v>52</v>
      </c>
      <c r="Y285" s="40">
        <v>56</v>
      </c>
      <c r="Z285" s="41">
        <f t="shared" si="21"/>
        <v>459</v>
      </c>
      <c r="AA285" s="42">
        <f t="shared" si="22"/>
        <v>19.125</v>
      </c>
    </row>
    <row r="286" spans="1:27" ht="14.1" customHeight="1" x14ac:dyDescent="0.2">
      <c r="A286" s="37">
        <v>15</v>
      </c>
      <c r="B286" s="38">
        <v>53</v>
      </c>
      <c r="C286" s="39">
        <v>38</v>
      </c>
      <c r="D286" s="39">
        <v>25</v>
      </c>
      <c r="E286" s="39">
        <v>17</v>
      </c>
      <c r="F286" s="39">
        <v>10</v>
      </c>
      <c r="G286" s="39">
        <v>3</v>
      </c>
      <c r="H286" s="39">
        <v>1</v>
      </c>
      <c r="I286" s="39">
        <v>23</v>
      </c>
      <c r="J286" s="39">
        <v>39</v>
      </c>
      <c r="K286" s="39">
        <v>47</v>
      </c>
      <c r="L286" s="39">
        <v>53</v>
      </c>
      <c r="M286" s="39">
        <v>57</v>
      </c>
      <c r="N286" s="39">
        <v>56</v>
      </c>
      <c r="O286" s="39">
        <v>44</v>
      </c>
      <c r="P286" s="39">
        <v>29</v>
      </c>
      <c r="Q286" s="39">
        <v>21</v>
      </c>
      <c r="R286" s="39">
        <v>15</v>
      </c>
      <c r="S286" s="39">
        <v>8</v>
      </c>
      <c r="T286" s="39">
        <v>2</v>
      </c>
      <c r="U286" s="39">
        <v>0</v>
      </c>
      <c r="V286" s="39">
        <v>10</v>
      </c>
      <c r="W286" s="39">
        <v>32</v>
      </c>
      <c r="X286" s="39">
        <v>45</v>
      </c>
      <c r="Y286" s="40">
        <v>52</v>
      </c>
      <c r="Z286" s="41">
        <f t="shared" si="21"/>
        <v>680</v>
      </c>
      <c r="AA286" s="42">
        <f t="shared" si="22"/>
        <v>28.333333333333332</v>
      </c>
    </row>
    <row r="287" spans="1:27" ht="14.1" customHeight="1" x14ac:dyDescent="0.2">
      <c r="A287" s="37">
        <v>16</v>
      </c>
      <c r="B287" s="38">
        <v>56</v>
      </c>
      <c r="C287" s="39">
        <v>52</v>
      </c>
      <c r="D287" s="39">
        <v>36</v>
      </c>
      <c r="E287" s="39">
        <v>25</v>
      </c>
      <c r="F287" s="39">
        <v>20</v>
      </c>
      <c r="G287" s="39">
        <v>14</v>
      </c>
      <c r="H287" s="39">
        <v>10</v>
      </c>
      <c r="I287" s="39">
        <v>15</v>
      </c>
      <c r="J287" s="39">
        <v>35</v>
      </c>
      <c r="K287" s="39">
        <v>48</v>
      </c>
      <c r="L287" s="39">
        <v>54</v>
      </c>
      <c r="M287" s="39">
        <v>58</v>
      </c>
      <c r="N287" s="39">
        <v>60</v>
      </c>
      <c r="O287" s="39">
        <v>52</v>
      </c>
      <c r="P287" s="39">
        <v>36</v>
      </c>
      <c r="Q287" s="39">
        <v>25</v>
      </c>
      <c r="R287" s="39">
        <v>19</v>
      </c>
      <c r="S287" s="39">
        <v>11</v>
      </c>
      <c r="T287" s="39">
        <v>4</v>
      </c>
      <c r="U287" s="39">
        <v>-5</v>
      </c>
      <c r="V287" s="39">
        <v>-12</v>
      </c>
      <c r="W287" s="39">
        <v>-6</v>
      </c>
      <c r="X287" s="39">
        <v>11</v>
      </c>
      <c r="Y287" s="40">
        <v>27</v>
      </c>
      <c r="Z287" s="41">
        <f t="shared" si="21"/>
        <v>645</v>
      </c>
      <c r="AA287" s="42">
        <f t="shared" si="22"/>
        <v>26.875</v>
      </c>
    </row>
    <row r="288" spans="1:27" ht="14.1" customHeight="1" x14ac:dyDescent="0.2">
      <c r="A288" s="37">
        <v>17</v>
      </c>
      <c r="B288" s="38">
        <v>34</v>
      </c>
      <c r="C288" s="39">
        <v>38</v>
      </c>
      <c r="D288" s="39">
        <v>35</v>
      </c>
      <c r="E288" s="39">
        <v>26</v>
      </c>
      <c r="F288" s="39">
        <v>15</v>
      </c>
      <c r="G288" s="39">
        <v>9</v>
      </c>
      <c r="H288" s="39">
        <v>6</v>
      </c>
      <c r="I288" s="39">
        <v>8</v>
      </c>
      <c r="J288" s="39">
        <v>21</v>
      </c>
      <c r="K288" s="39">
        <v>36</v>
      </c>
      <c r="L288" s="39">
        <v>46</v>
      </c>
      <c r="M288" s="39">
        <v>51</v>
      </c>
      <c r="N288" s="39">
        <v>53</v>
      </c>
      <c r="O288" s="39">
        <v>50</v>
      </c>
      <c r="P288" s="39">
        <v>38</v>
      </c>
      <c r="Q288" s="39">
        <v>25</v>
      </c>
      <c r="R288" s="39">
        <v>17</v>
      </c>
      <c r="S288" s="39">
        <v>10</v>
      </c>
      <c r="T288" s="39">
        <v>2</v>
      </c>
      <c r="U288" s="39">
        <v>-8</v>
      </c>
      <c r="V288" s="39">
        <v>-17</v>
      </c>
      <c r="W288" s="39">
        <v>-24</v>
      </c>
      <c r="X288" s="39">
        <v>-20</v>
      </c>
      <c r="Y288" s="40">
        <v>-2</v>
      </c>
      <c r="Z288" s="41">
        <f t="shared" si="21"/>
        <v>449</v>
      </c>
      <c r="AA288" s="42">
        <f t="shared" si="22"/>
        <v>18.708333333333332</v>
      </c>
    </row>
    <row r="289" spans="1:27" ht="14.1" customHeight="1" x14ac:dyDescent="0.2">
      <c r="A289" s="37">
        <v>18</v>
      </c>
      <c r="B289" s="38">
        <v>15</v>
      </c>
      <c r="C289" s="39">
        <v>26</v>
      </c>
      <c r="D289" s="39">
        <v>31</v>
      </c>
      <c r="E289" s="39">
        <v>33</v>
      </c>
      <c r="F289" s="39">
        <v>28</v>
      </c>
      <c r="G289" s="39">
        <v>20</v>
      </c>
      <c r="H289" s="39">
        <v>17</v>
      </c>
      <c r="I289" s="39">
        <v>18</v>
      </c>
      <c r="J289" s="39">
        <v>26</v>
      </c>
      <c r="K289" s="39">
        <v>35</v>
      </c>
      <c r="L289" s="39">
        <v>43</v>
      </c>
      <c r="M289" s="39">
        <v>49</v>
      </c>
      <c r="N289" s="39">
        <v>53</v>
      </c>
      <c r="O289" s="39">
        <v>56</v>
      </c>
      <c r="P289" s="39">
        <v>53</v>
      </c>
      <c r="Q289" s="39">
        <v>40</v>
      </c>
      <c r="R289" s="39">
        <v>28</v>
      </c>
      <c r="S289" s="39">
        <v>21</v>
      </c>
      <c r="T289" s="39">
        <v>14</v>
      </c>
      <c r="U289" s="39">
        <v>6</v>
      </c>
      <c r="V289" s="39">
        <v>-3</v>
      </c>
      <c r="W289" s="39">
        <v>-10</v>
      </c>
      <c r="X289" s="39">
        <v>-20</v>
      </c>
      <c r="Y289" s="40">
        <v>-21</v>
      </c>
      <c r="Z289" s="41">
        <f t="shared" si="21"/>
        <v>558</v>
      </c>
      <c r="AA289" s="42">
        <f t="shared" si="22"/>
        <v>23.25</v>
      </c>
    </row>
    <row r="290" spans="1:27" ht="14.1" customHeight="1" x14ac:dyDescent="0.2">
      <c r="A290" s="37">
        <v>19</v>
      </c>
      <c r="B290" s="38">
        <v>-10</v>
      </c>
      <c r="C290" s="39">
        <v>10</v>
      </c>
      <c r="D290" s="39">
        <v>24</v>
      </c>
      <c r="E290" s="39">
        <v>32</v>
      </c>
      <c r="F290" s="39">
        <v>38</v>
      </c>
      <c r="G290" s="39">
        <v>41</v>
      </c>
      <c r="H290" s="39">
        <v>44</v>
      </c>
      <c r="I290" s="39">
        <v>44</v>
      </c>
      <c r="J290" s="39">
        <v>44</v>
      </c>
      <c r="K290" s="39">
        <v>45</v>
      </c>
      <c r="L290" s="39">
        <v>49</v>
      </c>
      <c r="M290" s="39">
        <v>53</v>
      </c>
      <c r="N290" s="39">
        <v>57</v>
      </c>
      <c r="O290" s="39">
        <v>59</v>
      </c>
      <c r="P290" s="39">
        <v>58</v>
      </c>
      <c r="Q290" s="39">
        <v>52</v>
      </c>
      <c r="R290" s="39">
        <v>41</v>
      </c>
      <c r="S290" s="39">
        <v>32</v>
      </c>
      <c r="T290" s="39">
        <v>25</v>
      </c>
      <c r="U290" s="39">
        <v>16</v>
      </c>
      <c r="V290" s="39">
        <v>7</v>
      </c>
      <c r="W290" s="39">
        <v>-2</v>
      </c>
      <c r="X290" s="39">
        <v>-11</v>
      </c>
      <c r="Y290" s="40">
        <v>-20</v>
      </c>
      <c r="Z290" s="41">
        <f t="shared" si="21"/>
        <v>728</v>
      </c>
      <c r="AA290" s="42">
        <f t="shared" si="22"/>
        <v>30.333333333333332</v>
      </c>
    </row>
    <row r="291" spans="1:27" ht="14.1" customHeight="1" x14ac:dyDescent="0.2">
      <c r="A291" s="37">
        <v>20</v>
      </c>
      <c r="B291" s="38">
        <v>-27</v>
      </c>
      <c r="C291" s="39">
        <v>-19</v>
      </c>
      <c r="D291" s="39">
        <v>2</v>
      </c>
      <c r="E291" s="39">
        <v>18</v>
      </c>
      <c r="F291" s="39">
        <v>28</v>
      </c>
      <c r="G291" s="39">
        <v>34</v>
      </c>
      <c r="H291" s="39">
        <v>39</v>
      </c>
      <c r="I291" s="39">
        <v>43</v>
      </c>
      <c r="J291" s="39">
        <v>47</v>
      </c>
      <c r="K291" s="39">
        <v>47</v>
      </c>
      <c r="L291" s="39">
        <v>46</v>
      </c>
      <c r="M291" s="39">
        <v>45</v>
      </c>
      <c r="N291" s="39">
        <v>46</v>
      </c>
      <c r="O291" s="39">
        <v>49</v>
      </c>
      <c r="P291" s="39">
        <v>53</v>
      </c>
      <c r="Q291" s="39">
        <v>56</v>
      </c>
      <c r="R291" s="39">
        <v>56</v>
      </c>
      <c r="S291" s="39">
        <v>50</v>
      </c>
      <c r="T291" s="39">
        <v>39</v>
      </c>
      <c r="U291" s="39">
        <v>29</v>
      </c>
      <c r="V291" s="39">
        <v>21</v>
      </c>
      <c r="W291" s="39">
        <v>13</v>
      </c>
      <c r="X291" s="39">
        <v>6</v>
      </c>
      <c r="Y291" s="40">
        <v>0</v>
      </c>
      <c r="Z291" s="41">
        <f t="shared" si="21"/>
        <v>721</v>
      </c>
      <c r="AA291" s="42">
        <f t="shared" si="22"/>
        <v>30.041666666666668</v>
      </c>
    </row>
    <row r="292" spans="1:27" ht="14.1" customHeight="1" x14ac:dyDescent="0.2">
      <c r="A292" s="37">
        <v>21</v>
      </c>
      <c r="B292" s="38">
        <v>-7</v>
      </c>
      <c r="C292" s="39">
        <v>-12</v>
      </c>
      <c r="D292" s="39">
        <v>-4</v>
      </c>
      <c r="E292" s="39">
        <v>16</v>
      </c>
      <c r="F292" s="39">
        <v>34</v>
      </c>
      <c r="G292" s="39">
        <v>44</v>
      </c>
      <c r="H292" s="39">
        <v>52</v>
      </c>
      <c r="I292" s="39">
        <v>58</v>
      </c>
      <c r="J292" s="39">
        <v>62</v>
      </c>
      <c r="K292" s="39">
        <v>60</v>
      </c>
      <c r="L292" s="39">
        <v>53</v>
      </c>
      <c r="M292" s="39">
        <v>45</v>
      </c>
      <c r="N292" s="39">
        <v>43</v>
      </c>
      <c r="O292" s="39">
        <v>43</v>
      </c>
      <c r="P292" s="39">
        <v>50</v>
      </c>
      <c r="Q292" s="39">
        <v>59</v>
      </c>
      <c r="R292" s="39">
        <v>64</v>
      </c>
      <c r="S292" s="39">
        <v>65</v>
      </c>
      <c r="T292" s="39">
        <v>57</v>
      </c>
      <c r="U292" s="39">
        <v>45</v>
      </c>
      <c r="V292" s="39">
        <v>36</v>
      </c>
      <c r="W292" s="39">
        <v>33</v>
      </c>
      <c r="X292" s="39">
        <v>28</v>
      </c>
      <c r="Y292" s="40">
        <v>23</v>
      </c>
      <c r="Z292" s="41">
        <f t="shared" si="21"/>
        <v>947</v>
      </c>
      <c r="AA292" s="42">
        <f t="shared" si="22"/>
        <v>39.458333333333336</v>
      </c>
    </row>
    <row r="293" spans="1:27" ht="14.1" customHeight="1" x14ac:dyDescent="0.2">
      <c r="A293" s="37">
        <v>22</v>
      </c>
      <c r="B293" s="38">
        <v>17</v>
      </c>
      <c r="C293" s="39">
        <v>11</v>
      </c>
      <c r="D293" s="39">
        <v>6</v>
      </c>
      <c r="E293" s="39">
        <v>9</v>
      </c>
      <c r="F293" s="39">
        <v>24</v>
      </c>
      <c r="G293" s="39">
        <v>43</v>
      </c>
      <c r="H293" s="39">
        <v>53</v>
      </c>
      <c r="I293" s="39">
        <v>58</v>
      </c>
      <c r="J293" s="39">
        <v>60</v>
      </c>
      <c r="K293" s="39">
        <v>58</v>
      </c>
      <c r="L293" s="39">
        <v>49</v>
      </c>
      <c r="M293" s="39">
        <v>39</v>
      </c>
      <c r="N293" s="39">
        <v>36</v>
      </c>
      <c r="O293" s="39">
        <v>35</v>
      </c>
      <c r="P293" s="39">
        <v>38</v>
      </c>
      <c r="Q293" s="39">
        <v>47</v>
      </c>
      <c r="R293" s="39">
        <v>58</v>
      </c>
      <c r="S293" s="39">
        <v>63</v>
      </c>
      <c r="T293" s="39">
        <v>65</v>
      </c>
      <c r="U293" s="39">
        <v>61</v>
      </c>
      <c r="V293" s="39">
        <v>47</v>
      </c>
      <c r="W293" s="39">
        <v>36</v>
      </c>
      <c r="X293" s="39">
        <v>29</v>
      </c>
      <c r="Y293" s="40">
        <v>23</v>
      </c>
      <c r="Z293" s="41">
        <f t="shared" si="21"/>
        <v>965</v>
      </c>
      <c r="AA293" s="42">
        <f t="shared" si="22"/>
        <v>40.208333333333336</v>
      </c>
    </row>
    <row r="294" spans="1:27" ht="14.1" customHeight="1" x14ac:dyDescent="0.2">
      <c r="A294" s="37">
        <v>23</v>
      </c>
      <c r="B294" s="38">
        <v>17</v>
      </c>
      <c r="C294" s="39">
        <v>10</v>
      </c>
      <c r="D294" s="39">
        <v>3</v>
      </c>
      <c r="E294" s="39">
        <v>0</v>
      </c>
      <c r="F294" s="39">
        <v>14</v>
      </c>
      <c r="G294" s="39">
        <v>35</v>
      </c>
      <c r="H294" s="39">
        <v>48</v>
      </c>
      <c r="I294" s="39">
        <v>55</v>
      </c>
      <c r="J294" s="39">
        <v>59</v>
      </c>
      <c r="K294" s="39">
        <v>59</v>
      </c>
      <c r="L294" s="39">
        <v>50</v>
      </c>
      <c r="M294" s="39">
        <v>37</v>
      </c>
      <c r="N294" s="39">
        <v>29</v>
      </c>
      <c r="O294" s="39">
        <v>25</v>
      </c>
      <c r="P294" s="39">
        <v>25</v>
      </c>
      <c r="Q294" s="39">
        <v>34</v>
      </c>
      <c r="R294" s="39">
        <v>50</v>
      </c>
      <c r="S294" s="39">
        <v>60</v>
      </c>
      <c r="T294" s="39">
        <v>63</v>
      </c>
      <c r="U294" s="39">
        <v>64</v>
      </c>
      <c r="V294" s="39">
        <v>58</v>
      </c>
      <c r="W294" s="39">
        <v>43</v>
      </c>
      <c r="X294" s="39">
        <v>31</v>
      </c>
      <c r="Y294" s="40">
        <v>25</v>
      </c>
      <c r="Z294" s="41">
        <f t="shared" si="21"/>
        <v>894</v>
      </c>
      <c r="AA294" s="42">
        <f t="shared" si="22"/>
        <v>37.25</v>
      </c>
    </row>
    <row r="295" spans="1:27" ht="14.1" customHeight="1" x14ac:dyDescent="0.2">
      <c r="A295" s="43">
        <v>24</v>
      </c>
      <c r="B295" s="38">
        <v>18</v>
      </c>
      <c r="C295" s="39">
        <v>10</v>
      </c>
      <c r="D295" s="39">
        <v>3</v>
      </c>
      <c r="E295" s="39">
        <v>-5</v>
      </c>
      <c r="F295" s="39">
        <v>0</v>
      </c>
      <c r="G295" s="39">
        <v>23</v>
      </c>
      <c r="H295" s="39">
        <v>41</v>
      </c>
      <c r="I295" s="39">
        <v>49</v>
      </c>
      <c r="J295" s="39">
        <v>55</v>
      </c>
      <c r="K295" s="39">
        <v>57</v>
      </c>
      <c r="L295" s="39">
        <v>51</v>
      </c>
      <c r="M295" s="39">
        <v>35</v>
      </c>
      <c r="N295" s="39">
        <v>25</v>
      </c>
      <c r="O295" s="39">
        <v>20</v>
      </c>
      <c r="P295" s="39">
        <v>15</v>
      </c>
      <c r="Q295" s="39">
        <v>17</v>
      </c>
      <c r="R295" s="39">
        <v>35</v>
      </c>
      <c r="S295" s="39">
        <v>51</v>
      </c>
      <c r="T295" s="39">
        <v>57</v>
      </c>
      <c r="U295" s="39">
        <v>61</v>
      </c>
      <c r="V295" s="39">
        <v>63</v>
      </c>
      <c r="W295" s="39">
        <v>60</v>
      </c>
      <c r="X295" s="39">
        <v>44</v>
      </c>
      <c r="Y295" s="40">
        <v>31</v>
      </c>
      <c r="Z295" s="41">
        <f t="shared" si="21"/>
        <v>816</v>
      </c>
      <c r="AA295" s="42">
        <f t="shared" si="22"/>
        <v>34</v>
      </c>
    </row>
    <row r="296" spans="1:27" ht="14.1" customHeight="1" x14ac:dyDescent="0.2">
      <c r="A296" s="37">
        <v>25</v>
      </c>
      <c r="B296" s="38">
        <v>25</v>
      </c>
      <c r="C296" s="39">
        <v>18</v>
      </c>
      <c r="D296" s="39">
        <v>11</v>
      </c>
      <c r="E296" s="39">
        <v>3</v>
      </c>
      <c r="F296" s="39">
        <v>-3</v>
      </c>
      <c r="G296" s="39">
        <v>12</v>
      </c>
      <c r="H296" s="39">
        <v>36</v>
      </c>
      <c r="I296" s="39">
        <v>48</v>
      </c>
      <c r="J296" s="39">
        <v>54</v>
      </c>
      <c r="K296" s="39">
        <v>57</v>
      </c>
      <c r="L296" s="39">
        <v>55</v>
      </c>
      <c r="M296" s="39">
        <v>43</v>
      </c>
      <c r="N296" s="39">
        <v>30</v>
      </c>
      <c r="O296" s="39">
        <v>22</v>
      </c>
      <c r="P296" s="39">
        <v>18</v>
      </c>
      <c r="Q296" s="39">
        <v>14</v>
      </c>
      <c r="R296" s="39">
        <v>18</v>
      </c>
      <c r="S296" s="39">
        <v>36</v>
      </c>
      <c r="T296" s="39">
        <v>52</v>
      </c>
      <c r="U296" s="39">
        <v>58</v>
      </c>
      <c r="V296" s="39">
        <v>61</v>
      </c>
      <c r="W296" s="39">
        <v>62</v>
      </c>
      <c r="X296" s="39">
        <v>53</v>
      </c>
      <c r="Y296" s="40">
        <v>37</v>
      </c>
      <c r="Z296" s="41">
        <f t="shared" si="21"/>
        <v>820</v>
      </c>
      <c r="AA296" s="42">
        <f t="shared" si="22"/>
        <v>34.166666666666664</v>
      </c>
    </row>
    <row r="297" spans="1:27" ht="14.1" customHeight="1" x14ac:dyDescent="0.2">
      <c r="A297" s="37">
        <v>26</v>
      </c>
      <c r="B297" s="38">
        <v>29</v>
      </c>
      <c r="C297" s="39">
        <v>22</v>
      </c>
      <c r="D297" s="39">
        <v>15</v>
      </c>
      <c r="E297" s="39">
        <v>8</v>
      </c>
      <c r="F297" s="39">
        <v>1</v>
      </c>
      <c r="G297" s="39">
        <v>7</v>
      </c>
      <c r="H297" s="39">
        <v>31</v>
      </c>
      <c r="I297" s="39">
        <v>48</v>
      </c>
      <c r="J297" s="39">
        <v>55</v>
      </c>
      <c r="K297" s="39">
        <v>60</v>
      </c>
      <c r="L297" s="39">
        <v>61</v>
      </c>
      <c r="M297" s="39">
        <v>51</v>
      </c>
      <c r="N297" s="39">
        <v>34</v>
      </c>
      <c r="O297" s="39">
        <v>27</v>
      </c>
      <c r="P297" s="39">
        <v>22</v>
      </c>
      <c r="Q297" s="39">
        <v>16</v>
      </c>
      <c r="R297" s="39">
        <v>11</v>
      </c>
      <c r="S297" s="39">
        <v>21</v>
      </c>
      <c r="T297" s="39">
        <v>45</v>
      </c>
      <c r="U297" s="39">
        <v>57</v>
      </c>
      <c r="V297" s="39">
        <v>63</v>
      </c>
      <c r="W297" s="39">
        <v>66</v>
      </c>
      <c r="X297" s="39">
        <v>64</v>
      </c>
      <c r="Y297" s="40">
        <v>50</v>
      </c>
      <c r="Z297" s="41">
        <f t="shared" si="21"/>
        <v>864</v>
      </c>
      <c r="AA297" s="42">
        <f t="shared" si="22"/>
        <v>36</v>
      </c>
    </row>
    <row r="298" spans="1:27" ht="14.1" customHeight="1" x14ac:dyDescent="0.2">
      <c r="A298" s="37">
        <v>27</v>
      </c>
      <c r="B298" s="38">
        <v>37</v>
      </c>
      <c r="C298" s="39">
        <v>30</v>
      </c>
      <c r="D298" s="39">
        <v>24</v>
      </c>
      <c r="E298" s="39">
        <v>17</v>
      </c>
      <c r="F298" s="39">
        <v>11</v>
      </c>
      <c r="G298" s="39">
        <v>8</v>
      </c>
      <c r="H298" s="39">
        <v>25</v>
      </c>
      <c r="I298" s="39">
        <v>45</v>
      </c>
      <c r="J298" s="39">
        <v>54</v>
      </c>
      <c r="K298" s="39">
        <v>59</v>
      </c>
      <c r="L298" s="39">
        <v>61</v>
      </c>
      <c r="M298" s="39">
        <v>54</v>
      </c>
      <c r="N298" s="39">
        <v>37</v>
      </c>
      <c r="O298" s="39">
        <v>27</v>
      </c>
      <c r="P298" s="39">
        <v>22</v>
      </c>
      <c r="Q298" s="39">
        <v>15</v>
      </c>
      <c r="R298" s="39">
        <v>9</v>
      </c>
      <c r="S298" s="39">
        <v>10</v>
      </c>
      <c r="T298" s="39">
        <v>28</v>
      </c>
      <c r="U298" s="39">
        <v>45</v>
      </c>
      <c r="V298" s="39">
        <v>55</v>
      </c>
      <c r="W298" s="39">
        <v>60</v>
      </c>
      <c r="X298" s="39">
        <v>62</v>
      </c>
      <c r="Y298" s="40">
        <v>57</v>
      </c>
      <c r="Z298" s="41">
        <f t="shared" si="21"/>
        <v>852</v>
      </c>
      <c r="AA298" s="42">
        <f t="shared" si="22"/>
        <v>35.5</v>
      </c>
    </row>
    <row r="299" spans="1:27" ht="14.1" customHeight="1" x14ac:dyDescent="0.2">
      <c r="A299" s="37">
        <v>28</v>
      </c>
      <c r="B299" s="38">
        <v>41</v>
      </c>
      <c r="C299" s="39">
        <v>31</v>
      </c>
      <c r="D299" s="39">
        <v>25</v>
      </c>
      <c r="E299" s="39">
        <v>18</v>
      </c>
      <c r="F299" s="39">
        <v>11</v>
      </c>
      <c r="G299" s="39">
        <v>8</v>
      </c>
      <c r="H299" s="39">
        <v>21</v>
      </c>
      <c r="I299" s="39">
        <v>42</v>
      </c>
      <c r="J299" s="39">
        <v>51</v>
      </c>
      <c r="K299" s="39">
        <v>57</v>
      </c>
      <c r="L299" s="39">
        <v>61</v>
      </c>
      <c r="M299" s="39">
        <v>61</v>
      </c>
      <c r="N299" s="39">
        <v>49</v>
      </c>
      <c r="O299" s="39">
        <v>33</v>
      </c>
      <c r="P299" s="39">
        <v>26</v>
      </c>
      <c r="Q299" s="39">
        <v>19</v>
      </c>
      <c r="R299" s="39">
        <v>12</v>
      </c>
      <c r="S299" s="39">
        <v>6</v>
      </c>
      <c r="T299" s="39">
        <v>5</v>
      </c>
      <c r="U299" s="39">
        <v>26</v>
      </c>
      <c r="V299" s="39">
        <v>45</v>
      </c>
      <c r="W299" s="39">
        <v>55</v>
      </c>
      <c r="X299" s="39">
        <v>60</v>
      </c>
      <c r="Y299" s="40">
        <v>60</v>
      </c>
      <c r="Z299" s="41">
        <f t="shared" si="21"/>
        <v>823</v>
      </c>
      <c r="AA299" s="42">
        <f t="shared" si="22"/>
        <v>34.291666666666664</v>
      </c>
    </row>
    <row r="300" spans="1:27" ht="14.1" customHeight="1" x14ac:dyDescent="0.2">
      <c r="A300" s="37">
        <v>29</v>
      </c>
      <c r="B300" s="38">
        <v>48</v>
      </c>
      <c r="C300" s="39">
        <v>34</v>
      </c>
      <c r="D300" s="39">
        <v>27</v>
      </c>
      <c r="E300" s="39">
        <v>22</v>
      </c>
      <c r="F300" s="39">
        <v>17</v>
      </c>
      <c r="G300" s="39">
        <v>14</v>
      </c>
      <c r="H300" s="39">
        <v>18</v>
      </c>
      <c r="I300" s="39">
        <v>35</v>
      </c>
      <c r="J300" s="39">
        <v>50</v>
      </c>
      <c r="K300" s="39">
        <v>58</v>
      </c>
      <c r="L300" s="39">
        <v>61</v>
      </c>
      <c r="M300" s="39">
        <v>62</v>
      </c>
      <c r="N300" s="39">
        <v>51</v>
      </c>
      <c r="O300" s="39">
        <v>36</v>
      </c>
      <c r="P300" s="39">
        <v>29</v>
      </c>
      <c r="Q300" s="39">
        <v>23</v>
      </c>
      <c r="R300" s="39">
        <v>17</v>
      </c>
      <c r="S300" s="39">
        <v>11</v>
      </c>
      <c r="T300" s="39">
        <v>12</v>
      </c>
      <c r="U300" s="39">
        <v>23</v>
      </c>
      <c r="V300" s="39">
        <v>41</v>
      </c>
      <c r="W300" s="39">
        <v>56</v>
      </c>
      <c r="X300" s="39">
        <v>62</v>
      </c>
      <c r="Y300" s="40">
        <v>64</v>
      </c>
      <c r="Z300" s="41">
        <f t="shared" si="21"/>
        <v>871</v>
      </c>
      <c r="AA300" s="42">
        <f t="shared" si="22"/>
        <v>36.291666666666664</v>
      </c>
    </row>
    <row r="301" spans="1:27" ht="14.1" customHeight="1" x14ac:dyDescent="0.2">
      <c r="A301" s="37">
        <v>30</v>
      </c>
      <c r="B301" s="38">
        <v>58</v>
      </c>
      <c r="C301" s="39">
        <v>46</v>
      </c>
      <c r="D301" s="39">
        <v>40</v>
      </c>
      <c r="E301" s="39">
        <v>36</v>
      </c>
      <c r="F301" s="39">
        <v>33</v>
      </c>
      <c r="G301" s="39">
        <v>33</v>
      </c>
      <c r="H301" s="39">
        <v>36</v>
      </c>
      <c r="I301" s="39">
        <v>44</v>
      </c>
      <c r="J301" s="39">
        <v>56</v>
      </c>
      <c r="K301" s="39">
        <v>66</v>
      </c>
      <c r="L301" s="39">
        <v>69</v>
      </c>
      <c r="M301" s="39">
        <v>69</v>
      </c>
      <c r="N301" s="39">
        <v>62</v>
      </c>
      <c r="O301" s="39">
        <v>47</v>
      </c>
      <c r="P301" s="39">
        <v>40</v>
      </c>
      <c r="Q301" s="39">
        <v>35</v>
      </c>
      <c r="R301" s="39">
        <v>30</v>
      </c>
      <c r="S301" s="39">
        <v>25</v>
      </c>
      <c r="T301" s="39">
        <v>20</v>
      </c>
      <c r="U301" s="39">
        <v>18</v>
      </c>
      <c r="V301" s="39">
        <v>19</v>
      </c>
      <c r="W301" s="39">
        <v>28</v>
      </c>
      <c r="X301" s="39">
        <v>42</v>
      </c>
      <c r="Y301" s="40">
        <v>52</v>
      </c>
      <c r="Z301" s="41">
        <f t="shared" si="21"/>
        <v>1004</v>
      </c>
      <c r="AA301" s="42">
        <f t="shared" si="22"/>
        <v>41.833333333333336</v>
      </c>
    </row>
    <row r="302" spans="1:27" ht="14.1" customHeight="1" x14ac:dyDescent="0.2">
      <c r="A302" s="37">
        <v>31</v>
      </c>
      <c r="B302" s="44">
        <v>55</v>
      </c>
      <c r="C302" s="45">
        <v>49</v>
      </c>
      <c r="D302" s="45">
        <v>38</v>
      </c>
      <c r="E302" s="45">
        <v>32</v>
      </c>
      <c r="F302" s="45">
        <v>29</v>
      </c>
      <c r="G302" s="45">
        <v>27</v>
      </c>
      <c r="H302" s="45">
        <v>27</v>
      </c>
      <c r="I302" s="45">
        <v>33</v>
      </c>
      <c r="J302" s="45">
        <v>45</v>
      </c>
      <c r="K302" s="45">
        <v>55</v>
      </c>
      <c r="L302" s="45">
        <v>59</v>
      </c>
      <c r="M302" s="45">
        <v>59</v>
      </c>
      <c r="N302" s="45">
        <v>55</v>
      </c>
      <c r="O302" s="45">
        <v>43</v>
      </c>
      <c r="P302" s="45">
        <v>33</v>
      </c>
      <c r="Q302" s="45">
        <v>28</v>
      </c>
      <c r="R302" s="45">
        <v>23</v>
      </c>
      <c r="S302" s="45">
        <v>19</v>
      </c>
      <c r="T302" s="45">
        <v>14</v>
      </c>
      <c r="U302" s="45">
        <v>9</v>
      </c>
      <c r="V302" s="45">
        <v>4</v>
      </c>
      <c r="W302" s="45">
        <v>5</v>
      </c>
      <c r="X302" s="45">
        <v>12</v>
      </c>
      <c r="Y302" s="46">
        <v>24</v>
      </c>
      <c r="Z302" s="47">
        <f t="shared" si="21"/>
        <v>777</v>
      </c>
      <c r="AA302" s="48">
        <f t="shared" si="22"/>
        <v>32.375</v>
      </c>
    </row>
    <row r="303" spans="1:27" ht="14.1" customHeight="1" x14ac:dyDescent="0.2">
      <c r="A303" s="27" t="s">
        <v>7</v>
      </c>
      <c r="B303" s="49">
        <f t="shared" ref="B303:Y303" si="23">SUM(B272:B302)</f>
        <v>318</v>
      </c>
      <c r="C303" s="49">
        <f t="shared" si="23"/>
        <v>205</v>
      </c>
      <c r="D303" s="49">
        <f t="shared" si="23"/>
        <v>122</v>
      </c>
      <c r="E303" s="49">
        <f t="shared" si="23"/>
        <v>89</v>
      </c>
      <c r="F303" s="49">
        <f t="shared" si="23"/>
        <v>118</v>
      </c>
      <c r="G303" s="49">
        <f t="shared" si="23"/>
        <v>250</v>
      </c>
      <c r="H303" s="49">
        <f t="shared" si="23"/>
        <v>499</v>
      </c>
      <c r="I303" s="49">
        <f t="shared" si="23"/>
        <v>805</v>
      </c>
      <c r="J303" s="49">
        <f t="shared" si="23"/>
        <v>1086</v>
      </c>
      <c r="K303" s="49">
        <f t="shared" si="23"/>
        <v>1266</v>
      </c>
      <c r="L303" s="49">
        <f t="shared" si="23"/>
        <v>1331</v>
      </c>
      <c r="M303" s="49">
        <f t="shared" si="23"/>
        <v>1265</v>
      </c>
      <c r="N303" s="49">
        <f t="shared" si="23"/>
        <v>1120</v>
      </c>
      <c r="O303" s="49">
        <f t="shared" si="23"/>
        <v>965</v>
      </c>
      <c r="P303" s="49">
        <f t="shared" si="23"/>
        <v>855</v>
      </c>
      <c r="Q303" s="50">
        <f t="shared" si="23"/>
        <v>775</v>
      </c>
      <c r="R303" s="49">
        <f t="shared" si="23"/>
        <v>735</v>
      </c>
      <c r="S303" s="49">
        <f t="shared" si="23"/>
        <v>694</v>
      </c>
      <c r="T303" s="49">
        <f t="shared" si="23"/>
        <v>730</v>
      </c>
      <c r="U303" s="49">
        <f t="shared" si="23"/>
        <v>714</v>
      </c>
      <c r="V303" s="49">
        <f t="shared" si="23"/>
        <v>660</v>
      </c>
      <c r="W303" s="49">
        <f t="shared" si="23"/>
        <v>612</v>
      </c>
      <c r="X303" s="49">
        <f t="shared" si="23"/>
        <v>541</v>
      </c>
      <c r="Y303" s="49">
        <f t="shared" si="23"/>
        <v>453</v>
      </c>
      <c r="Z303" s="51">
        <f>SUM(B272:Y302)</f>
        <v>16208</v>
      </c>
      <c r="AA303" s="52">
        <f>AVERAGE(B272:Y302)</f>
        <v>21.78494623655914</v>
      </c>
    </row>
    <row r="304" spans="1:27" ht="14.1" customHeight="1" x14ac:dyDescent="0.25">
      <c r="A304" s="53" t="s">
        <v>10</v>
      </c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 spans="1:27" ht="14.1" customHeight="1" x14ac:dyDescent="0.25">
      <c r="A305" s="55" t="str">
        <f>A267</f>
        <v>Trạm: Gò Dầu Hạ</v>
      </c>
      <c r="B305" s="2"/>
      <c r="C305" s="3"/>
      <c r="D305" s="4"/>
      <c r="E305" s="5"/>
      <c r="F305" s="5"/>
      <c r="G305" s="5"/>
      <c r="H305" s="5"/>
      <c r="I305" s="6"/>
      <c r="J305" s="4"/>
      <c r="K305" s="5"/>
      <c r="L305" s="5"/>
      <c r="M305" s="5"/>
      <c r="N305" s="5"/>
      <c r="O305" s="4"/>
      <c r="P305" s="6"/>
      <c r="Q305" s="4"/>
      <c r="R305" s="5"/>
      <c r="S305" s="5"/>
      <c r="T305" s="5"/>
      <c r="U305" s="5"/>
      <c r="V305" s="6"/>
      <c r="W305" s="4"/>
      <c r="X305" s="7"/>
      <c r="Y305" s="5"/>
      <c r="Z305" s="5"/>
      <c r="AA305" s="5"/>
    </row>
    <row r="306" spans="1:27" ht="14.1" customHeight="1" x14ac:dyDescent="0.25">
      <c r="A306" s="55" t="str">
        <f>A268</f>
        <v>Sông: Vàm Cỏ Đông</v>
      </c>
      <c r="B306" s="2"/>
      <c r="C306" s="2"/>
      <c r="D306" s="9"/>
      <c r="E306" s="10"/>
      <c r="F306" s="10"/>
      <c r="G306" s="10"/>
      <c r="H306" s="10"/>
      <c r="I306" s="11"/>
      <c r="J306" s="11"/>
      <c r="K306" s="5"/>
      <c r="L306" s="5"/>
      <c r="M306" s="12" t="s">
        <v>2</v>
      </c>
      <c r="N306" s="13"/>
      <c r="O306" s="13"/>
      <c r="P306" s="13"/>
      <c r="Q306" s="14"/>
      <c r="R306" s="14"/>
      <c r="S306" s="10"/>
      <c r="T306" s="10"/>
      <c r="U306" s="10"/>
      <c r="V306" s="11"/>
      <c r="W306" s="11"/>
      <c r="X306" s="7"/>
      <c r="Y306" s="5"/>
      <c r="Z306" s="5"/>
      <c r="AA306" s="5"/>
    </row>
    <row r="307" spans="1:27" ht="14.1" customHeight="1" x14ac:dyDescent="0.25">
      <c r="A307" s="56" t="s">
        <v>3</v>
      </c>
      <c r="B307" s="16">
        <f>B269+1</f>
        <v>9</v>
      </c>
      <c r="C307" s="16"/>
      <c r="D307" s="17"/>
      <c r="E307" s="9"/>
      <c r="F307" s="18"/>
      <c r="G307" s="10"/>
      <c r="H307" s="10"/>
      <c r="I307" s="10"/>
      <c r="J307" s="4"/>
      <c r="K307" s="5"/>
      <c r="L307" s="5"/>
      <c r="M307" s="19"/>
      <c r="N307" s="20" t="s">
        <v>4</v>
      </c>
      <c r="O307" s="22">
        <f>O269</f>
        <v>2025</v>
      </c>
      <c r="P307" s="22"/>
      <c r="Q307" s="13"/>
      <c r="R307" s="14"/>
      <c r="S307" s="18"/>
      <c r="T307" s="10"/>
      <c r="U307" s="10"/>
      <c r="V307" s="10"/>
      <c r="W307" s="4"/>
      <c r="X307" s="23" t="s">
        <v>5</v>
      </c>
      <c r="Y307" s="5"/>
      <c r="Z307" s="5"/>
      <c r="AA307" s="5"/>
    </row>
    <row r="308" spans="1:27" ht="14.1" customHeight="1" x14ac:dyDescent="0.2">
      <c r="A308" s="24" t="s">
        <v>6</v>
      </c>
      <c r="B308" s="25">
        <v>0</v>
      </c>
      <c r="C308" s="26">
        <v>1</v>
      </c>
      <c r="D308" s="25">
        <v>2</v>
      </c>
      <c r="E308" s="25">
        <v>3</v>
      </c>
      <c r="F308" s="26">
        <v>4</v>
      </c>
      <c r="G308" s="25">
        <v>5</v>
      </c>
      <c r="H308" s="25">
        <v>6</v>
      </c>
      <c r="I308" s="26">
        <v>7</v>
      </c>
      <c r="J308" s="25">
        <v>8</v>
      </c>
      <c r="K308" s="25">
        <v>9</v>
      </c>
      <c r="L308" s="25">
        <v>10</v>
      </c>
      <c r="M308" s="25">
        <v>11</v>
      </c>
      <c r="N308" s="25">
        <v>12</v>
      </c>
      <c r="O308" s="25">
        <v>13</v>
      </c>
      <c r="P308" s="26">
        <v>14</v>
      </c>
      <c r="Q308" s="25">
        <v>15</v>
      </c>
      <c r="R308" s="26">
        <v>16</v>
      </c>
      <c r="S308" s="25">
        <v>17</v>
      </c>
      <c r="T308" s="26">
        <v>18</v>
      </c>
      <c r="U308" s="25">
        <v>19</v>
      </c>
      <c r="V308" s="26">
        <v>20</v>
      </c>
      <c r="W308" s="25">
        <v>21</v>
      </c>
      <c r="X308" s="26">
        <v>22</v>
      </c>
      <c r="Y308" s="25">
        <v>23</v>
      </c>
      <c r="Z308" s="27" t="s">
        <v>7</v>
      </c>
      <c r="AA308" s="27" t="s">
        <v>8</v>
      </c>
    </row>
    <row r="309" spans="1:27" ht="14.1" customHeight="1" x14ac:dyDescent="0.2">
      <c r="A309" s="28" t="s">
        <v>9</v>
      </c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30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 spans="1:27" ht="14.1" customHeight="1" x14ac:dyDescent="0.2">
      <c r="A310" s="31">
        <v>1</v>
      </c>
      <c r="B310" s="32">
        <v>36</v>
      </c>
      <c r="C310" s="33">
        <v>41</v>
      </c>
      <c r="D310" s="33">
        <v>40</v>
      </c>
      <c r="E310" s="33">
        <v>37</v>
      </c>
      <c r="F310" s="33">
        <v>32</v>
      </c>
      <c r="G310" s="33">
        <v>31</v>
      </c>
      <c r="H310" s="33">
        <v>32</v>
      </c>
      <c r="I310" s="33">
        <v>37</v>
      </c>
      <c r="J310" s="33">
        <v>45</v>
      </c>
      <c r="K310" s="33">
        <v>52</v>
      </c>
      <c r="L310" s="33">
        <v>55</v>
      </c>
      <c r="M310" s="33">
        <v>55</v>
      </c>
      <c r="N310" s="33">
        <v>53</v>
      </c>
      <c r="O310" s="33">
        <v>47</v>
      </c>
      <c r="P310" s="33">
        <v>40</v>
      </c>
      <c r="Q310" s="33">
        <v>32</v>
      </c>
      <c r="R310" s="33">
        <v>26</v>
      </c>
      <c r="S310" s="33">
        <v>20</v>
      </c>
      <c r="T310" s="33">
        <v>13</v>
      </c>
      <c r="U310" s="33">
        <v>7</v>
      </c>
      <c r="V310" s="33">
        <v>0</v>
      </c>
      <c r="W310" s="33">
        <v>-3</v>
      </c>
      <c r="X310" s="33">
        <v>1</v>
      </c>
      <c r="Y310" s="34">
        <v>6</v>
      </c>
      <c r="Z310" s="35">
        <f t="shared" ref="Z310:Z340" si="24">SUM(B310:Y310)</f>
        <v>735</v>
      </c>
      <c r="AA310" s="36">
        <f t="shared" ref="AA310:AA340" si="25">AVERAGE(B310:Y310)</f>
        <v>30.625</v>
      </c>
    </row>
    <row r="311" spans="1:27" ht="14.1" customHeight="1" x14ac:dyDescent="0.2">
      <c r="A311" s="37">
        <v>2</v>
      </c>
      <c r="B311" s="38">
        <v>12</v>
      </c>
      <c r="C311" s="39">
        <v>20</v>
      </c>
      <c r="D311" s="39">
        <v>28</v>
      </c>
      <c r="E311" s="39">
        <v>34</v>
      </c>
      <c r="F311" s="39">
        <v>38</v>
      </c>
      <c r="G311" s="39">
        <v>40</v>
      </c>
      <c r="H311" s="39">
        <v>42</v>
      </c>
      <c r="I311" s="39">
        <v>44</v>
      </c>
      <c r="J311" s="39">
        <v>48</v>
      </c>
      <c r="K311" s="39">
        <v>52</v>
      </c>
      <c r="L311" s="39">
        <v>56</v>
      </c>
      <c r="M311" s="39">
        <v>58</v>
      </c>
      <c r="N311" s="39">
        <v>58</v>
      </c>
      <c r="O311" s="39">
        <v>53</v>
      </c>
      <c r="P311" s="39">
        <v>46</v>
      </c>
      <c r="Q311" s="39">
        <v>39</v>
      </c>
      <c r="R311" s="39">
        <v>32</v>
      </c>
      <c r="S311" s="39">
        <v>26</v>
      </c>
      <c r="T311" s="39">
        <v>20</v>
      </c>
      <c r="U311" s="39">
        <v>14</v>
      </c>
      <c r="V311" s="39">
        <v>6</v>
      </c>
      <c r="W311" s="39">
        <v>2</v>
      </c>
      <c r="X311" s="39">
        <v>-2</v>
      </c>
      <c r="Y311" s="40">
        <v>-3</v>
      </c>
      <c r="Z311" s="41">
        <f t="shared" si="24"/>
        <v>763</v>
      </c>
      <c r="AA311" s="42">
        <f t="shared" si="25"/>
        <v>31.791666666666668</v>
      </c>
    </row>
    <row r="312" spans="1:27" ht="14.1" customHeight="1" x14ac:dyDescent="0.2">
      <c r="A312" s="37">
        <v>3</v>
      </c>
      <c r="B312" s="38">
        <v>5</v>
      </c>
      <c r="C312" s="39">
        <v>19</v>
      </c>
      <c r="D312" s="39">
        <v>33</v>
      </c>
      <c r="E312" s="39">
        <v>43</v>
      </c>
      <c r="F312" s="39">
        <v>50</v>
      </c>
      <c r="G312" s="39">
        <v>52</v>
      </c>
      <c r="H312" s="39">
        <v>55</v>
      </c>
      <c r="I312" s="39">
        <v>54</v>
      </c>
      <c r="J312" s="39">
        <v>53</v>
      </c>
      <c r="K312" s="39">
        <v>54</v>
      </c>
      <c r="L312" s="39">
        <v>57</v>
      </c>
      <c r="M312" s="39">
        <v>60</v>
      </c>
      <c r="N312" s="39">
        <v>58</v>
      </c>
      <c r="O312" s="39">
        <v>53</v>
      </c>
      <c r="P312" s="39">
        <v>48</v>
      </c>
      <c r="Q312" s="39">
        <v>43</v>
      </c>
      <c r="R312" s="39">
        <v>38</v>
      </c>
      <c r="S312" s="39">
        <v>33</v>
      </c>
      <c r="T312" s="39">
        <v>28</v>
      </c>
      <c r="U312" s="39">
        <v>22</v>
      </c>
      <c r="V312" s="39">
        <v>14</v>
      </c>
      <c r="W312" s="39">
        <v>9</v>
      </c>
      <c r="X312" s="39">
        <v>3</v>
      </c>
      <c r="Y312" s="40">
        <v>-2</v>
      </c>
      <c r="Z312" s="41">
        <f t="shared" si="24"/>
        <v>882</v>
      </c>
      <c r="AA312" s="42">
        <f t="shared" si="25"/>
        <v>36.75</v>
      </c>
    </row>
    <row r="313" spans="1:27" ht="14.1" customHeight="1" x14ac:dyDescent="0.2">
      <c r="A313" s="37">
        <v>4</v>
      </c>
      <c r="B313" s="38">
        <v>-4</v>
      </c>
      <c r="C313" s="39">
        <v>0</v>
      </c>
      <c r="D313" s="39">
        <v>18</v>
      </c>
      <c r="E313" s="39">
        <v>35</v>
      </c>
      <c r="F313" s="39">
        <v>46</v>
      </c>
      <c r="G313" s="39">
        <v>52</v>
      </c>
      <c r="H313" s="39">
        <v>55</v>
      </c>
      <c r="I313" s="39">
        <v>57</v>
      </c>
      <c r="J313" s="39">
        <v>58</v>
      </c>
      <c r="K313" s="39">
        <v>56</v>
      </c>
      <c r="L313" s="39">
        <v>52</v>
      </c>
      <c r="M313" s="39">
        <v>48</v>
      </c>
      <c r="N313" s="39">
        <v>45</v>
      </c>
      <c r="O313" s="39">
        <v>45</v>
      </c>
      <c r="P313" s="39">
        <v>47</v>
      </c>
      <c r="Q313" s="39">
        <v>52</v>
      </c>
      <c r="R313" s="39">
        <v>50</v>
      </c>
      <c r="S313" s="39">
        <v>44</v>
      </c>
      <c r="T313" s="39">
        <v>37</v>
      </c>
      <c r="U313" s="39">
        <v>32</v>
      </c>
      <c r="V313" s="39">
        <v>26</v>
      </c>
      <c r="W313" s="39">
        <v>20</v>
      </c>
      <c r="X313" s="39">
        <v>13</v>
      </c>
      <c r="Y313" s="40">
        <v>6</v>
      </c>
      <c r="Z313" s="41">
        <f t="shared" si="24"/>
        <v>890</v>
      </c>
      <c r="AA313" s="42">
        <f t="shared" si="25"/>
        <v>37.083333333333336</v>
      </c>
    </row>
    <row r="314" spans="1:27" ht="14.1" customHeight="1" x14ac:dyDescent="0.2">
      <c r="A314" s="37">
        <v>5</v>
      </c>
      <c r="B314" s="38">
        <v>0</v>
      </c>
      <c r="C314" s="39">
        <v>-2</v>
      </c>
      <c r="D314" s="39">
        <v>9</v>
      </c>
      <c r="E314" s="39">
        <v>31</v>
      </c>
      <c r="F314" s="39">
        <v>46</v>
      </c>
      <c r="G314" s="39">
        <v>54</v>
      </c>
      <c r="H314" s="39">
        <v>60</v>
      </c>
      <c r="I314" s="39">
        <v>63</v>
      </c>
      <c r="J314" s="39">
        <v>64</v>
      </c>
      <c r="K314" s="39">
        <v>60</v>
      </c>
      <c r="L314" s="39">
        <v>51</v>
      </c>
      <c r="M314" s="39">
        <v>45</v>
      </c>
      <c r="N314" s="39">
        <v>43</v>
      </c>
      <c r="O314" s="39">
        <v>43</v>
      </c>
      <c r="P314" s="39">
        <v>47</v>
      </c>
      <c r="Q314" s="39">
        <v>54</v>
      </c>
      <c r="R314" s="39">
        <v>59</v>
      </c>
      <c r="S314" s="39">
        <v>59</v>
      </c>
      <c r="T314" s="39">
        <v>51</v>
      </c>
      <c r="U314" s="39">
        <v>40</v>
      </c>
      <c r="V314" s="39">
        <v>34</v>
      </c>
      <c r="W314" s="39">
        <v>27</v>
      </c>
      <c r="X314" s="39">
        <v>20</v>
      </c>
      <c r="Y314" s="40">
        <v>13</v>
      </c>
      <c r="Z314" s="41">
        <f t="shared" si="24"/>
        <v>971</v>
      </c>
      <c r="AA314" s="42">
        <f t="shared" si="25"/>
        <v>40.458333333333336</v>
      </c>
    </row>
    <row r="315" spans="1:27" ht="14.1" customHeight="1" x14ac:dyDescent="0.2">
      <c r="A315" s="37">
        <v>6</v>
      </c>
      <c r="B315" s="38">
        <v>5</v>
      </c>
      <c r="C315" s="39">
        <v>-2</v>
      </c>
      <c r="D315" s="39">
        <v>-1</v>
      </c>
      <c r="E315" s="39">
        <v>16</v>
      </c>
      <c r="F315" s="39">
        <v>37</v>
      </c>
      <c r="G315" s="39">
        <v>49</v>
      </c>
      <c r="H315" s="39">
        <v>56</v>
      </c>
      <c r="I315" s="39">
        <v>60</v>
      </c>
      <c r="J315" s="39">
        <v>61</v>
      </c>
      <c r="K315" s="39">
        <v>57</v>
      </c>
      <c r="L315" s="39">
        <v>45</v>
      </c>
      <c r="M315" s="39">
        <v>37</v>
      </c>
      <c r="N315" s="39">
        <v>35</v>
      </c>
      <c r="O315" s="39">
        <v>33</v>
      </c>
      <c r="P315" s="39">
        <v>36</v>
      </c>
      <c r="Q315" s="39">
        <v>47</v>
      </c>
      <c r="R315" s="39">
        <v>59</v>
      </c>
      <c r="S315" s="39">
        <v>63</v>
      </c>
      <c r="T315" s="39">
        <v>62</v>
      </c>
      <c r="U315" s="39">
        <v>53</v>
      </c>
      <c r="V315" s="39">
        <v>38</v>
      </c>
      <c r="W315" s="39">
        <v>31</v>
      </c>
      <c r="X315" s="39">
        <v>26</v>
      </c>
      <c r="Y315" s="40">
        <v>20</v>
      </c>
      <c r="Z315" s="41">
        <f t="shared" si="24"/>
        <v>923</v>
      </c>
      <c r="AA315" s="42">
        <f t="shared" si="25"/>
        <v>38.458333333333336</v>
      </c>
    </row>
    <row r="316" spans="1:27" ht="14.1" customHeight="1" x14ac:dyDescent="0.2">
      <c r="A316" s="37">
        <v>7</v>
      </c>
      <c r="B316" s="38">
        <v>12</v>
      </c>
      <c r="C316" s="39">
        <v>5</v>
      </c>
      <c r="D316" s="39">
        <v>-2</v>
      </c>
      <c r="E316" s="39">
        <v>6</v>
      </c>
      <c r="F316" s="39">
        <v>29</v>
      </c>
      <c r="G316" s="39">
        <v>46</v>
      </c>
      <c r="H316" s="39">
        <v>55</v>
      </c>
      <c r="I316" s="39">
        <v>60</v>
      </c>
      <c r="J316" s="39">
        <v>62</v>
      </c>
      <c r="K316" s="39">
        <v>57</v>
      </c>
      <c r="L316" s="39">
        <v>45</v>
      </c>
      <c r="M316" s="39">
        <v>35</v>
      </c>
      <c r="N316" s="39">
        <v>31</v>
      </c>
      <c r="O316" s="39">
        <v>29</v>
      </c>
      <c r="P316" s="39">
        <v>32</v>
      </c>
      <c r="Q316" s="39">
        <v>46</v>
      </c>
      <c r="R316" s="39">
        <v>62</v>
      </c>
      <c r="S316" s="39">
        <v>68</v>
      </c>
      <c r="T316" s="39">
        <v>70</v>
      </c>
      <c r="U316" s="39">
        <v>69</v>
      </c>
      <c r="V316" s="39">
        <v>60</v>
      </c>
      <c r="W316" s="39">
        <v>46</v>
      </c>
      <c r="X316" s="39">
        <v>39</v>
      </c>
      <c r="Y316" s="40">
        <v>33</v>
      </c>
      <c r="Z316" s="41">
        <f t="shared" si="24"/>
        <v>995</v>
      </c>
      <c r="AA316" s="42">
        <f t="shared" si="25"/>
        <v>41.458333333333336</v>
      </c>
    </row>
    <row r="317" spans="1:27" ht="14.1" customHeight="1" x14ac:dyDescent="0.2">
      <c r="A317" s="37">
        <v>8</v>
      </c>
      <c r="B317" s="38">
        <v>27</v>
      </c>
      <c r="C317" s="39">
        <v>21</v>
      </c>
      <c r="D317" s="39">
        <v>13</v>
      </c>
      <c r="E317" s="39">
        <v>9</v>
      </c>
      <c r="F317" s="39">
        <v>23</v>
      </c>
      <c r="G317" s="39">
        <v>46</v>
      </c>
      <c r="H317" s="39">
        <v>60</v>
      </c>
      <c r="I317" s="39">
        <v>66</v>
      </c>
      <c r="J317" s="39">
        <v>70</v>
      </c>
      <c r="K317" s="39">
        <v>67</v>
      </c>
      <c r="L317" s="39">
        <v>53</v>
      </c>
      <c r="M317" s="39">
        <v>42</v>
      </c>
      <c r="N317" s="39">
        <v>36</v>
      </c>
      <c r="O317" s="39">
        <v>31</v>
      </c>
      <c r="P317" s="39">
        <v>29</v>
      </c>
      <c r="Q317" s="39">
        <v>33</v>
      </c>
      <c r="R317" s="39">
        <v>52</v>
      </c>
      <c r="S317" s="39">
        <v>67</v>
      </c>
      <c r="T317" s="39">
        <v>73</v>
      </c>
      <c r="U317" s="39">
        <v>76</v>
      </c>
      <c r="V317" s="39">
        <v>75</v>
      </c>
      <c r="W317" s="39">
        <v>67</v>
      </c>
      <c r="X317" s="39">
        <v>52</v>
      </c>
      <c r="Y317" s="40">
        <v>45</v>
      </c>
      <c r="Z317" s="41">
        <f t="shared" si="24"/>
        <v>1133</v>
      </c>
      <c r="AA317" s="42">
        <f t="shared" si="25"/>
        <v>47.208333333333336</v>
      </c>
    </row>
    <row r="318" spans="1:27" ht="14.1" customHeight="1" x14ac:dyDescent="0.2">
      <c r="A318" s="37">
        <v>9</v>
      </c>
      <c r="B318" s="38">
        <v>40</v>
      </c>
      <c r="C318" s="39">
        <v>35</v>
      </c>
      <c r="D318" s="39">
        <v>30</v>
      </c>
      <c r="E318" s="39">
        <v>24</v>
      </c>
      <c r="F318" s="39">
        <v>24</v>
      </c>
      <c r="G318" s="39">
        <v>44</v>
      </c>
      <c r="H318" s="39">
        <v>64</v>
      </c>
      <c r="I318" s="39">
        <v>72</v>
      </c>
      <c r="J318" s="39">
        <v>75</v>
      </c>
      <c r="K318" s="39">
        <v>74</v>
      </c>
      <c r="L318" s="39">
        <v>64</v>
      </c>
      <c r="M318" s="39">
        <v>48</v>
      </c>
      <c r="N318" s="39">
        <v>42</v>
      </c>
      <c r="O318" s="39">
        <v>38</v>
      </c>
      <c r="P318" s="39">
        <v>33</v>
      </c>
      <c r="Q318" s="39">
        <v>30</v>
      </c>
      <c r="R318" s="39">
        <v>42</v>
      </c>
      <c r="S318" s="39">
        <v>63</v>
      </c>
      <c r="T318" s="39">
        <v>73</v>
      </c>
      <c r="U318" s="39">
        <v>78</v>
      </c>
      <c r="V318" s="39">
        <v>80</v>
      </c>
      <c r="W318" s="39">
        <v>80</v>
      </c>
      <c r="X318" s="39">
        <v>70</v>
      </c>
      <c r="Y318" s="40">
        <v>54</v>
      </c>
      <c r="Z318" s="41">
        <f t="shared" si="24"/>
        <v>1277</v>
      </c>
      <c r="AA318" s="42">
        <f t="shared" si="25"/>
        <v>53.208333333333336</v>
      </c>
    </row>
    <row r="319" spans="1:27" ht="14.1" customHeight="1" x14ac:dyDescent="0.2">
      <c r="A319" s="37">
        <v>10</v>
      </c>
      <c r="B319" s="38">
        <v>49</v>
      </c>
      <c r="C319" s="39">
        <v>45</v>
      </c>
      <c r="D319" s="39">
        <v>40</v>
      </c>
      <c r="E319" s="39">
        <v>35</v>
      </c>
      <c r="F319" s="39">
        <v>31</v>
      </c>
      <c r="G319" s="39">
        <v>41</v>
      </c>
      <c r="H319" s="39">
        <v>62</v>
      </c>
      <c r="I319" s="39">
        <v>74</v>
      </c>
      <c r="J319" s="39">
        <v>78</v>
      </c>
      <c r="K319" s="39">
        <v>80</v>
      </c>
      <c r="L319" s="39">
        <v>75</v>
      </c>
      <c r="M319" s="39">
        <v>59</v>
      </c>
      <c r="N319" s="39">
        <v>48</v>
      </c>
      <c r="O319" s="39">
        <v>43</v>
      </c>
      <c r="P319" s="39">
        <v>39</v>
      </c>
      <c r="Q319" s="39">
        <v>34</v>
      </c>
      <c r="R319" s="39">
        <v>32</v>
      </c>
      <c r="S319" s="39">
        <v>46</v>
      </c>
      <c r="T319" s="39">
        <v>65</v>
      </c>
      <c r="U319" s="39">
        <v>75</v>
      </c>
      <c r="V319" s="39">
        <v>80</v>
      </c>
      <c r="W319" s="39">
        <v>82</v>
      </c>
      <c r="X319" s="39">
        <v>80</v>
      </c>
      <c r="Y319" s="40">
        <v>69</v>
      </c>
      <c r="Z319" s="41">
        <f t="shared" si="24"/>
        <v>1362</v>
      </c>
      <c r="AA319" s="42">
        <f t="shared" si="25"/>
        <v>56.75</v>
      </c>
    </row>
    <row r="320" spans="1:27" ht="14.1" customHeight="1" x14ac:dyDescent="0.2">
      <c r="A320" s="37">
        <v>11</v>
      </c>
      <c r="B320" s="38">
        <v>55</v>
      </c>
      <c r="C320" s="39">
        <v>49</v>
      </c>
      <c r="D320" s="39">
        <v>44</v>
      </c>
      <c r="E320" s="39">
        <v>39</v>
      </c>
      <c r="F320" s="39">
        <v>34</v>
      </c>
      <c r="G320" s="39">
        <v>39</v>
      </c>
      <c r="H320" s="39">
        <v>60</v>
      </c>
      <c r="I320" s="39">
        <v>74</v>
      </c>
      <c r="J320" s="39">
        <v>79</v>
      </c>
      <c r="K320" s="39">
        <v>82</v>
      </c>
      <c r="L320" s="39">
        <v>81</v>
      </c>
      <c r="M320" s="39">
        <v>70</v>
      </c>
      <c r="N320" s="39">
        <v>56</v>
      </c>
      <c r="O320" s="39">
        <v>49</v>
      </c>
      <c r="P320" s="39">
        <v>44</v>
      </c>
      <c r="Q320" s="39">
        <v>40</v>
      </c>
      <c r="R320" s="39">
        <v>35</v>
      </c>
      <c r="S320" s="39">
        <v>34</v>
      </c>
      <c r="T320" s="39">
        <v>56</v>
      </c>
      <c r="U320" s="39">
        <v>75</v>
      </c>
      <c r="V320" s="39">
        <v>85</v>
      </c>
      <c r="W320" s="39">
        <v>89</v>
      </c>
      <c r="X320" s="39">
        <v>91</v>
      </c>
      <c r="Y320" s="40">
        <v>89</v>
      </c>
      <c r="Z320" s="41">
        <f t="shared" si="24"/>
        <v>1449</v>
      </c>
      <c r="AA320" s="42">
        <f t="shared" si="25"/>
        <v>60.375</v>
      </c>
    </row>
    <row r="321" spans="1:27" ht="14.1" customHeight="1" x14ac:dyDescent="0.2">
      <c r="A321" s="37">
        <v>12</v>
      </c>
      <c r="B321" s="38">
        <v>75</v>
      </c>
      <c r="C321" s="39">
        <v>66</v>
      </c>
      <c r="D321" s="39">
        <v>62</v>
      </c>
      <c r="E321" s="39">
        <v>59</v>
      </c>
      <c r="F321" s="39">
        <v>57</v>
      </c>
      <c r="G321" s="39">
        <v>56</v>
      </c>
      <c r="H321" s="39">
        <v>66</v>
      </c>
      <c r="I321" s="39">
        <v>83</v>
      </c>
      <c r="J321" s="39">
        <v>90</v>
      </c>
      <c r="K321" s="39">
        <v>92</v>
      </c>
      <c r="L321" s="39">
        <v>92</v>
      </c>
      <c r="M321" s="39">
        <v>85</v>
      </c>
      <c r="N321" s="39">
        <v>70</v>
      </c>
      <c r="O321" s="39">
        <v>63</v>
      </c>
      <c r="P321" s="39">
        <v>60</v>
      </c>
      <c r="Q321" s="39">
        <v>57</v>
      </c>
      <c r="R321" s="39">
        <v>54</v>
      </c>
      <c r="S321" s="39">
        <v>51</v>
      </c>
      <c r="T321" s="39">
        <v>55</v>
      </c>
      <c r="U321" s="39">
        <v>67</v>
      </c>
      <c r="V321" s="39">
        <v>84</v>
      </c>
      <c r="W321" s="39">
        <v>92</v>
      </c>
      <c r="X321" s="39">
        <v>95</v>
      </c>
      <c r="Y321" s="40">
        <v>95</v>
      </c>
      <c r="Z321" s="41">
        <f t="shared" si="24"/>
        <v>1726</v>
      </c>
      <c r="AA321" s="42">
        <f t="shared" si="25"/>
        <v>71.916666666666671</v>
      </c>
    </row>
    <row r="322" spans="1:27" ht="14.1" customHeight="1" x14ac:dyDescent="0.2">
      <c r="A322" s="37">
        <v>13</v>
      </c>
      <c r="B322" s="38">
        <v>90</v>
      </c>
      <c r="C322" s="39">
        <v>77</v>
      </c>
      <c r="D322" s="39">
        <v>69</v>
      </c>
      <c r="E322" s="39">
        <v>65</v>
      </c>
      <c r="F322" s="39">
        <v>63</v>
      </c>
      <c r="G322" s="39">
        <v>61</v>
      </c>
      <c r="H322" s="39">
        <v>66</v>
      </c>
      <c r="I322" s="39">
        <v>81</v>
      </c>
      <c r="J322" s="39">
        <v>90</v>
      </c>
      <c r="K322" s="39">
        <v>93</v>
      </c>
      <c r="L322" s="39">
        <v>94</v>
      </c>
      <c r="M322" s="39">
        <v>93</v>
      </c>
      <c r="N322" s="39">
        <v>82</v>
      </c>
      <c r="O322" s="39">
        <v>69</v>
      </c>
      <c r="P322" s="39">
        <v>64</v>
      </c>
      <c r="Q322" s="39">
        <v>63</v>
      </c>
      <c r="R322" s="39">
        <v>60</v>
      </c>
      <c r="S322" s="39">
        <v>56</v>
      </c>
      <c r="T322" s="39">
        <v>53</v>
      </c>
      <c r="U322" s="39">
        <v>56</v>
      </c>
      <c r="V322" s="39">
        <v>65</v>
      </c>
      <c r="W322" s="39">
        <v>80</v>
      </c>
      <c r="X322" s="39">
        <v>90</v>
      </c>
      <c r="Y322" s="40">
        <v>93</v>
      </c>
      <c r="Z322" s="41">
        <f t="shared" si="24"/>
        <v>1773</v>
      </c>
      <c r="AA322" s="42">
        <f t="shared" si="25"/>
        <v>73.875</v>
      </c>
    </row>
    <row r="323" spans="1:27" ht="14.1" customHeight="1" x14ac:dyDescent="0.2">
      <c r="A323" s="37">
        <v>14</v>
      </c>
      <c r="B323" s="38">
        <v>92</v>
      </c>
      <c r="C323" s="39">
        <v>86</v>
      </c>
      <c r="D323" s="39">
        <v>75</v>
      </c>
      <c r="E323" s="39">
        <v>69</v>
      </c>
      <c r="F323" s="39">
        <v>66</v>
      </c>
      <c r="G323" s="39">
        <v>65</v>
      </c>
      <c r="H323" s="39">
        <v>67</v>
      </c>
      <c r="I323" s="39">
        <v>75</v>
      </c>
      <c r="J323" s="39">
        <v>84</v>
      </c>
      <c r="K323" s="39">
        <v>90</v>
      </c>
      <c r="L323" s="39">
        <v>93</v>
      </c>
      <c r="M323" s="39">
        <v>91</v>
      </c>
      <c r="N323" s="39">
        <v>84</v>
      </c>
      <c r="O323" s="39">
        <v>72</v>
      </c>
      <c r="P323" s="39">
        <v>66</v>
      </c>
      <c r="Q323" s="39">
        <v>62</v>
      </c>
      <c r="R323" s="39">
        <v>59</v>
      </c>
      <c r="S323" s="39">
        <v>55</v>
      </c>
      <c r="T323" s="39">
        <v>52</v>
      </c>
      <c r="U323" s="39">
        <v>49</v>
      </c>
      <c r="V323" s="39">
        <v>49</v>
      </c>
      <c r="W323" s="39">
        <v>55</v>
      </c>
      <c r="X323" s="39">
        <v>66</v>
      </c>
      <c r="Y323" s="40">
        <v>76</v>
      </c>
      <c r="Z323" s="41">
        <f t="shared" si="24"/>
        <v>1698</v>
      </c>
      <c r="AA323" s="42">
        <f t="shared" si="25"/>
        <v>70.75</v>
      </c>
    </row>
    <row r="324" spans="1:27" ht="14.1" customHeight="1" x14ac:dyDescent="0.2">
      <c r="A324" s="37">
        <v>15</v>
      </c>
      <c r="B324" s="38">
        <v>82</v>
      </c>
      <c r="C324" s="39">
        <v>83</v>
      </c>
      <c r="D324" s="39">
        <v>78</v>
      </c>
      <c r="E324" s="39">
        <v>71</v>
      </c>
      <c r="F324" s="39">
        <v>67</v>
      </c>
      <c r="G324" s="39">
        <v>66</v>
      </c>
      <c r="H324" s="39">
        <v>66</v>
      </c>
      <c r="I324" s="39">
        <v>68</v>
      </c>
      <c r="J324" s="39">
        <v>73</v>
      </c>
      <c r="K324" s="39">
        <v>80</v>
      </c>
      <c r="L324" s="39">
        <v>83</v>
      </c>
      <c r="M324" s="39">
        <v>83</v>
      </c>
      <c r="N324" s="39">
        <v>78</v>
      </c>
      <c r="O324" s="39">
        <v>69</v>
      </c>
      <c r="P324" s="39">
        <v>63</v>
      </c>
      <c r="Q324" s="39">
        <v>59</v>
      </c>
      <c r="R324" s="39">
        <v>55</v>
      </c>
      <c r="S324" s="39">
        <v>52</v>
      </c>
      <c r="T324" s="39">
        <v>48</v>
      </c>
      <c r="U324" s="39">
        <v>43</v>
      </c>
      <c r="V324" s="39">
        <v>39</v>
      </c>
      <c r="W324" s="39">
        <v>38</v>
      </c>
      <c r="X324" s="39">
        <v>42</v>
      </c>
      <c r="Y324" s="40">
        <v>52</v>
      </c>
      <c r="Z324" s="41">
        <f t="shared" si="24"/>
        <v>1538</v>
      </c>
      <c r="AA324" s="42">
        <f t="shared" si="25"/>
        <v>64.083333333333329</v>
      </c>
    </row>
    <row r="325" spans="1:27" ht="14.1" customHeight="1" x14ac:dyDescent="0.2">
      <c r="A325" s="37">
        <v>16</v>
      </c>
      <c r="B325" s="38">
        <v>63</v>
      </c>
      <c r="C325" s="39">
        <v>72</v>
      </c>
      <c r="D325" s="39">
        <v>76</v>
      </c>
      <c r="E325" s="39">
        <v>78</v>
      </c>
      <c r="F325" s="39">
        <v>76</v>
      </c>
      <c r="G325" s="39">
        <v>73</v>
      </c>
      <c r="H325" s="39">
        <v>70</v>
      </c>
      <c r="I325" s="39">
        <v>69</v>
      </c>
      <c r="J325" s="39">
        <v>69</v>
      </c>
      <c r="K325" s="39">
        <v>68</v>
      </c>
      <c r="L325" s="39">
        <v>68</v>
      </c>
      <c r="M325" s="39">
        <v>70</v>
      </c>
      <c r="N325" s="39">
        <v>72</v>
      </c>
      <c r="O325" s="39">
        <v>70</v>
      </c>
      <c r="P325" s="39">
        <v>66</v>
      </c>
      <c r="Q325" s="39">
        <v>61</v>
      </c>
      <c r="R325" s="39">
        <v>57</v>
      </c>
      <c r="S325" s="39">
        <v>54</v>
      </c>
      <c r="T325" s="39">
        <v>51</v>
      </c>
      <c r="U325" s="39">
        <v>48</v>
      </c>
      <c r="V325" s="39">
        <v>44</v>
      </c>
      <c r="W325" s="39">
        <v>41</v>
      </c>
      <c r="X325" s="39">
        <v>38</v>
      </c>
      <c r="Y325" s="40">
        <v>39</v>
      </c>
      <c r="Z325" s="41">
        <f t="shared" si="24"/>
        <v>1493</v>
      </c>
      <c r="AA325" s="42">
        <f t="shared" si="25"/>
        <v>62.208333333333336</v>
      </c>
    </row>
    <row r="326" spans="1:27" ht="14.1" customHeight="1" x14ac:dyDescent="0.2">
      <c r="A326" s="37">
        <v>17</v>
      </c>
      <c r="B326" s="38">
        <v>45</v>
      </c>
      <c r="C326" s="39">
        <v>56</v>
      </c>
      <c r="D326" s="39">
        <v>66</v>
      </c>
      <c r="E326" s="39">
        <v>73</v>
      </c>
      <c r="F326" s="39">
        <v>77</v>
      </c>
      <c r="G326" s="39">
        <v>80</v>
      </c>
      <c r="H326" s="39">
        <v>81</v>
      </c>
      <c r="I326" s="39">
        <v>79</v>
      </c>
      <c r="J326" s="39">
        <v>75</v>
      </c>
      <c r="K326" s="39">
        <v>71</v>
      </c>
      <c r="L326" s="39">
        <v>68</v>
      </c>
      <c r="M326" s="39">
        <v>66</v>
      </c>
      <c r="N326" s="39">
        <v>65</v>
      </c>
      <c r="O326" s="39">
        <v>66</v>
      </c>
      <c r="P326" s="39">
        <v>66</v>
      </c>
      <c r="Q326" s="39">
        <v>65</v>
      </c>
      <c r="R326" s="39">
        <v>61</v>
      </c>
      <c r="S326" s="39">
        <v>57</v>
      </c>
      <c r="T326" s="39">
        <v>54</v>
      </c>
      <c r="U326" s="39">
        <v>50</v>
      </c>
      <c r="V326" s="39">
        <v>46</v>
      </c>
      <c r="W326" s="39">
        <v>42</v>
      </c>
      <c r="X326" s="39">
        <v>39</v>
      </c>
      <c r="Y326" s="40">
        <v>35</v>
      </c>
      <c r="Z326" s="41">
        <f t="shared" si="24"/>
        <v>1483</v>
      </c>
      <c r="AA326" s="42">
        <f t="shared" si="25"/>
        <v>61.791666666666664</v>
      </c>
    </row>
    <row r="327" spans="1:27" ht="14.1" customHeight="1" x14ac:dyDescent="0.2">
      <c r="A327" s="37">
        <v>18</v>
      </c>
      <c r="B327" s="38">
        <v>34</v>
      </c>
      <c r="C327" s="39">
        <v>38</v>
      </c>
      <c r="D327" s="39">
        <v>50</v>
      </c>
      <c r="E327" s="39">
        <v>65</v>
      </c>
      <c r="F327" s="39">
        <v>74</v>
      </c>
      <c r="G327" s="39">
        <v>79</v>
      </c>
      <c r="H327" s="39">
        <v>81</v>
      </c>
      <c r="I327" s="39">
        <v>80</v>
      </c>
      <c r="J327" s="39">
        <v>73</v>
      </c>
      <c r="K327" s="39">
        <v>65</v>
      </c>
      <c r="L327" s="39">
        <v>60</v>
      </c>
      <c r="M327" s="39">
        <v>58</v>
      </c>
      <c r="N327" s="39">
        <v>57</v>
      </c>
      <c r="O327" s="39">
        <v>59</v>
      </c>
      <c r="P327" s="39">
        <v>62</v>
      </c>
      <c r="Q327" s="39">
        <v>65</v>
      </c>
      <c r="R327" s="39">
        <v>66</v>
      </c>
      <c r="S327" s="39">
        <v>63</v>
      </c>
      <c r="T327" s="39">
        <v>58</v>
      </c>
      <c r="U327" s="39">
        <v>57</v>
      </c>
      <c r="V327" s="39">
        <v>57</v>
      </c>
      <c r="W327" s="39">
        <v>53</v>
      </c>
      <c r="X327" s="39">
        <v>51</v>
      </c>
      <c r="Y327" s="40">
        <v>48</v>
      </c>
      <c r="Z327" s="41">
        <f t="shared" si="24"/>
        <v>1453</v>
      </c>
      <c r="AA327" s="42">
        <f t="shared" si="25"/>
        <v>60.541666666666664</v>
      </c>
    </row>
    <row r="328" spans="1:27" ht="14.1" customHeight="1" x14ac:dyDescent="0.2">
      <c r="A328" s="37">
        <v>19</v>
      </c>
      <c r="B328" s="38">
        <v>45</v>
      </c>
      <c r="C328" s="39">
        <v>44</v>
      </c>
      <c r="D328" s="39">
        <v>49</v>
      </c>
      <c r="E328" s="39">
        <v>61</v>
      </c>
      <c r="F328" s="39">
        <v>76</v>
      </c>
      <c r="G328" s="39">
        <v>85</v>
      </c>
      <c r="H328" s="39">
        <v>88</v>
      </c>
      <c r="I328" s="39">
        <v>86</v>
      </c>
      <c r="J328" s="39">
        <v>80</v>
      </c>
      <c r="K328" s="39">
        <v>71</v>
      </c>
      <c r="L328" s="39">
        <v>66</v>
      </c>
      <c r="M328" s="39">
        <v>64</v>
      </c>
      <c r="N328" s="39">
        <v>62</v>
      </c>
      <c r="O328" s="39">
        <v>60</v>
      </c>
      <c r="P328" s="39">
        <v>61</v>
      </c>
      <c r="Q328" s="39">
        <v>63</v>
      </c>
      <c r="R328" s="39">
        <v>68</v>
      </c>
      <c r="S328" s="39">
        <v>72</v>
      </c>
      <c r="T328" s="39">
        <v>72</v>
      </c>
      <c r="U328" s="39">
        <v>66</v>
      </c>
      <c r="V328" s="39">
        <v>59</v>
      </c>
      <c r="W328" s="39">
        <v>55</v>
      </c>
      <c r="X328" s="39">
        <v>51</v>
      </c>
      <c r="Y328" s="40">
        <v>48</v>
      </c>
      <c r="Z328" s="41">
        <f t="shared" si="24"/>
        <v>1552</v>
      </c>
      <c r="AA328" s="42">
        <f t="shared" si="25"/>
        <v>64.666666666666671</v>
      </c>
    </row>
    <row r="329" spans="1:27" ht="14.1" customHeight="1" x14ac:dyDescent="0.2">
      <c r="A329" s="37">
        <v>20</v>
      </c>
      <c r="B329" s="38">
        <v>44</v>
      </c>
      <c r="C329" s="39">
        <v>41</v>
      </c>
      <c r="D329" s="39">
        <v>41</v>
      </c>
      <c r="E329" s="39">
        <v>52</v>
      </c>
      <c r="F329" s="39">
        <v>68</v>
      </c>
      <c r="G329" s="39">
        <v>81</v>
      </c>
      <c r="H329" s="39">
        <v>86</v>
      </c>
      <c r="I329" s="39">
        <v>88</v>
      </c>
      <c r="J329" s="39">
        <v>85</v>
      </c>
      <c r="K329" s="39">
        <v>74</v>
      </c>
      <c r="L329" s="39">
        <v>64</v>
      </c>
      <c r="M329" s="39">
        <v>60</v>
      </c>
      <c r="N329" s="39">
        <v>57</v>
      </c>
      <c r="O329" s="39">
        <v>55</v>
      </c>
      <c r="P329" s="39">
        <v>56</v>
      </c>
      <c r="Q329" s="39">
        <v>63</v>
      </c>
      <c r="R329" s="39">
        <v>74</v>
      </c>
      <c r="S329" s="39">
        <v>82</v>
      </c>
      <c r="T329" s="39">
        <v>85</v>
      </c>
      <c r="U329" s="39">
        <v>81</v>
      </c>
      <c r="V329" s="39">
        <v>70</v>
      </c>
      <c r="W329" s="39">
        <v>60</v>
      </c>
      <c r="X329" s="39">
        <v>56</v>
      </c>
      <c r="Y329" s="40">
        <v>52</v>
      </c>
      <c r="Z329" s="41">
        <f t="shared" si="24"/>
        <v>1575</v>
      </c>
      <c r="AA329" s="42">
        <f t="shared" si="25"/>
        <v>65.625</v>
      </c>
    </row>
    <row r="330" spans="1:27" ht="14.1" customHeight="1" x14ac:dyDescent="0.2">
      <c r="A330" s="37">
        <v>21</v>
      </c>
      <c r="B330" s="38">
        <v>48</v>
      </c>
      <c r="C330" s="39">
        <v>44</v>
      </c>
      <c r="D330" s="39">
        <v>40</v>
      </c>
      <c r="E330" s="39">
        <v>46</v>
      </c>
      <c r="F330" s="39">
        <v>62</v>
      </c>
      <c r="G330" s="39">
        <v>76</v>
      </c>
      <c r="H330" s="39">
        <v>85</v>
      </c>
      <c r="I330" s="39">
        <v>87</v>
      </c>
      <c r="J330" s="39">
        <v>86</v>
      </c>
      <c r="K330" s="39">
        <v>77</v>
      </c>
      <c r="L330" s="39">
        <v>65</v>
      </c>
      <c r="M330" s="39">
        <v>59</v>
      </c>
      <c r="N330" s="39">
        <v>55</v>
      </c>
      <c r="O330" s="39">
        <v>52</v>
      </c>
      <c r="P330" s="39">
        <v>51</v>
      </c>
      <c r="Q330" s="39">
        <v>55</v>
      </c>
      <c r="R330" s="39">
        <v>68</v>
      </c>
      <c r="S330" s="39">
        <v>80</v>
      </c>
      <c r="T330" s="39">
        <v>86</v>
      </c>
      <c r="U330" s="39">
        <v>87</v>
      </c>
      <c r="V330" s="39">
        <v>83</v>
      </c>
      <c r="W330" s="39">
        <v>71</v>
      </c>
      <c r="X330" s="39">
        <v>61</v>
      </c>
      <c r="Y330" s="40">
        <v>57</v>
      </c>
      <c r="Z330" s="41">
        <f t="shared" si="24"/>
        <v>1581</v>
      </c>
      <c r="AA330" s="42">
        <f t="shared" si="25"/>
        <v>65.875</v>
      </c>
    </row>
    <row r="331" spans="1:27" ht="14.1" customHeight="1" x14ac:dyDescent="0.2">
      <c r="A331" s="37">
        <v>22</v>
      </c>
      <c r="B331" s="38">
        <v>53</v>
      </c>
      <c r="C331" s="39">
        <v>49</v>
      </c>
      <c r="D331" s="39">
        <v>45</v>
      </c>
      <c r="E331" s="39">
        <v>45</v>
      </c>
      <c r="F331" s="39">
        <v>58</v>
      </c>
      <c r="G331" s="39">
        <v>75</v>
      </c>
      <c r="H331" s="39">
        <v>86</v>
      </c>
      <c r="I331" s="39">
        <v>90</v>
      </c>
      <c r="J331" s="39">
        <v>90</v>
      </c>
      <c r="K331" s="39">
        <v>83</v>
      </c>
      <c r="L331" s="39">
        <v>68</v>
      </c>
      <c r="M331" s="39">
        <v>60</v>
      </c>
      <c r="N331" s="39">
        <v>56</v>
      </c>
      <c r="O331" s="39">
        <v>53</v>
      </c>
      <c r="P331" s="39">
        <v>50</v>
      </c>
      <c r="Q331" s="39">
        <v>50</v>
      </c>
      <c r="R331" s="39">
        <v>57</v>
      </c>
      <c r="S331" s="39">
        <v>72</v>
      </c>
      <c r="T331" s="39">
        <v>82</v>
      </c>
      <c r="U331" s="39">
        <v>86</v>
      </c>
      <c r="V331" s="39">
        <v>86</v>
      </c>
      <c r="W331" s="39">
        <v>78</v>
      </c>
      <c r="X331" s="39">
        <v>65</v>
      </c>
      <c r="Y331" s="40">
        <v>59</v>
      </c>
      <c r="Z331" s="41">
        <f t="shared" si="24"/>
        <v>1596</v>
      </c>
      <c r="AA331" s="42">
        <f t="shared" si="25"/>
        <v>66.5</v>
      </c>
    </row>
    <row r="332" spans="1:27" ht="14.1" customHeight="1" x14ac:dyDescent="0.2">
      <c r="A332" s="37">
        <v>23</v>
      </c>
      <c r="B332" s="38">
        <v>55</v>
      </c>
      <c r="C332" s="39">
        <v>52</v>
      </c>
      <c r="D332" s="39">
        <v>48</v>
      </c>
      <c r="E332" s="39">
        <v>46</v>
      </c>
      <c r="F332" s="39">
        <v>54</v>
      </c>
      <c r="G332" s="39">
        <v>69</v>
      </c>
      <c r="H332" s="39">
        <v>82</v>
      </c>
      <c r="I332" s="39">
        <v>88</v>
      </c>
      <c r="J332" s="39">
        <v>90</v>
      </c>
      <c r="K332" s="39">
        <v>85</v>
      </c>
      <c r="L332" s="39">
        <v>72</v>
      </c>
      <c r="M332" s="39">
        <v>63</v>
      </c>
      <c r="N332" s="39">
        <v>59</v>
      </c>
      <c r="O332" s="39">
        <v>55</v>
      </c>
      <c r="P332" s="39">
        <v>51</v>
      </c>
      <c r="Q332" s="39">
        <v>48</v>
      </c>
      <c r="R332" s="39">
        <v>50</v>
      </c>
      <c r="S332" s="39">
        <v>62</v>
      </c>
      <c r="T332" s="39">
        <v>78</v>
      </c>
      <c r="U332" s="39">
        <v>87</v>
      </c>
      <c r="V332" s="39">
        <v>89</v>
      </c>
      <c r="W332" s="39">
        <v>87</v>
      </c>
      <c r="X332" s="39">
        <v>76</v>
      </c>
      <c r="Y332" s="40">
        <v>65</v>
      </c>
      <c r="Z332" s="41">
        <f t="shared" si="24"/>
        <v>1611</v>
      </c>
      <c r="AA332" s="42">
        <f t="shared" si="25"/>
        <v>67.125</v>
      </c>
    </row>
    <row r="333" spans="1:27" ht="14.1" customHeight="1" x14ac:dyDescent="0.2">
      <c r="A333" s="43">
        <v>24</v>
      </c>
      <c r="B333" s="38">
        <v>60</v>
      </c>
      <c r="C333" s="39">
        <v>57</v>
      </c>
      <c r="D333" s="39">
        <v>53</v>
      </c>
      <c r="E333" s="39">
        <v>50</v>
      </c>
      <c r="F333" s="39">
        <v>51</v>
      </c>
      <c r="G333" s="39">
        <v>63</v>
      </c>
      <c r="H333" s="39">
        <v>78</v>
      </c>
      <c r="I333" s="39">
        <v>86</v>
      </c>
      <c r="J333" s="39">
        <v>88</v>
      </c>
      <c r="K333" s="39">
        <v>84</v>
      </c>
      <c r="L333" s="39">
        <v>71</v>
      </c>
      <c r="M333" s="39">
        <v>62</v>
      </c>
      <c r="N333" s="39">
        <v>58</v>
      </c>
      <c r="O333" s="39">
        <v>54</v>
      </c>
      <c r="P333" s="39">
        <v>50</v>
      </c>
      <c r="Q333" s="39">
        <v>47</v>
      </c>
      <c r="R333" s="39">
        <v>47</v>
      </c>
      <c r="S333" s="39">
        <v>57</v>
      </c>
      <c r="T333" s="39">
        <v>73</v>
      </c>
      <c r="U333" s="39">
        <v>83</v>
      </c>
      <c r="V333" s="39">
        <v>88</v>
      </c>
      <c r="W333" s="39">
        <v>89</v>
      </c>
      <c r="X333" s="39">
        <v>84</v>
      </c>
      <c r="Y333" s="40">
        <v>70</v>
      </c>
      <c r="Z333" s="41">
        <f t="shared" si="24"/>
        <v>1603</v>
      </c>
      <c r="AA333" s="42">
        <f t="shared" si="25"/>
        <v>66.791666666666671</v>
      </c>
    </row>
    <row r="334" spans="1:27" ht="14.1" customHeight="1" x14ac:dyDescent="0.2">
      <c r="A334" s="37">
        <v>25</v>
      </c>
      <c r="B334" s="38">
        <v>63</v>
      </c>
      <c r="C334" s="39">
        <v>59</v>
      </c>
      <c r="D334" s="39">
        <v>55</v>
      </c>
      <c r="E334" s="39">
        <v>52</v>
      </c>
      <c r="F334" s="39">
        <v>51</v>
      </c>
      <c r="G334" s="39">
        <v>60</v>
      </c>
      <c r="H334" s="39">
        <v>74</v>
      </c>
      <c r="I334" s="39">
        <v>85</v>
      </c>
      <c r="J334" s="39">
        <v>89</v>
      </c>
      <c r="K334" s="39">
        <v>89</v>
      </c>
      <c r="L334" s="39">
        <v>81</v>
      </c>
      <c r="M334" s="39">
        <v>68</v>
      </c>
      <c r="N334" s="39">
        <v>62</v>
      </c>
      <c r="O334" s="39">
        <v>57</v>
      </c>
      <c r="P334" s="39">
        <v>54</v>
      </c>
      <c r="Q334" s="39">
        <v>49</v>
      </c>
      <c r="R334" s="39">
        <v>47</v>
      </c>
      <c r="S334" s="39">
        <v>50</v>
      </c>
      <c r="T334" s="39">
        <v>65</v>
      </c>
      <c r="U334" s="39">
        <v>77</v>
      </c>
      <c r="V334" s="39">
        <v>84</v>
      </c>
      <c r="W334" s="39">
        <v>86</v>
      </c>
      <c r="X334" s="39">
        <v>81</v>
      </c>
      <c r="Y334" s="40">
        <v>72</v>
      </c>
      <c r="Z334" s="41">
        <f t="shared" si="24"/>
        <v>1610</v>
      </c>
      <c r="AA334" s="42">
        <f t="shared" si="25"/>
        <v>67.083333333333329</v>
      </c>
    </row>
    <row r="335" spans="1:27" ht="14.1" customHeight="1" x14ac:dyDescent="0.2">
      <c r="A335" s="37">
        <v>26</v>
      </c>
      <c r="B335" s="38">
        <v>65</v>
      </c>
      <c r="C335" s="39">
        <v>61</v>
      </c>
      <c r="D335" s="39">
        <v>58</v>
      </c>
      <c r="E335" s="39">
        <v>55</v>
      </c>
      <c r="F335" s="39">
        <v>53</v>
      </c>
      <c r="G335" s="39">
        <v>56</v>
      </c>
      <c r="H335" s="39">
        <v>68</v>
      </c>
      <c r="I335" s="39">
        <v>80</v>
      </c>
      <c r="J335" s="39">
        <v>86</v>
      </c>
      <c r="K335" s="39">
        <v>85</v>
      </c>
      <c r="L335" s="39">
        <v>78</v>
      </c>
      <c r="M335" s="39">
        <v>66</v>
      </c>
      <c r="N335" s="39">
        <v>59</v>
      </c>
      <c r="O335" s="39">
        <v>55</v>
      </c>
      <c r="P335" s="39">
        <v>52</v>
      </c>
      <c r="Q335" s="39">
        <v>47</v>
      </c>
      <c r="R335" s="39">
        <v>43</v>
      </c>
      <c r="S335" s="39">
        <v>43</v>
      </c>
      <c r="T335" s="39">
        <v>53</v>
      </c>
      <c r="U335" s="39">
        <v>66</v>
      </c>
      <c r="V335" s="39">
        <v>79</v>
      </c>
      <c r="W335" s="39">
        <v>87</v>
      </c>
      <c r="X335" s="39">
        <v>89</v>
      </c>
      <c r="Y335" s="40">
        <v>85</v>
      </c>
      <c r="Z335" s="41">
        <f t="shared" si="24"/>
        <v>1569</v>
      </c>
      <c r="AA335" s="42">
        <f t="shared" si="25"/>
        <v>65.375</v>
      </c>
    </row>
    <row r="336" spans="1:27" ht="14.1" customHeight="1" x14ac:dyDescent="0.2">
      <c r="A336" s="37">
        <v>27</v>
      </c>
      <c r="B336" s="38">
        <v>75</v>
      </c>
      <c r="C336" s="39">
        <v>67</v>
      </c>
      <c r="D336" s="39">
        <v>63</v>
      </c>
      <c r="E336" s="39">
        <v>61</v>
      </c>
      <c r="F336" s="39">
        <v>61</v>
      </c>
      <c r="G336" s="39">
        <v>64</v>
      </c>
      <c r="H336" s="39">
        <v>72</v>
      </c>
      <c r="I336" s="39">
        <v>82</v>
      </c>
      <c r="J336" s="39">
        <v>87</v>
      </c>
      <c r="K336" s="39">
        <v>89</v>
      </c>
      <c r="L336" s="39">
        <v>85</v>
      </c>
      <c r="M336" s="39">
        <v>73</v>
      </c>
      <c r="N336" s="39">
        <v>66</v>
      </c>
      <c r="O336" s="39">
        <v>59</v>
      </c>
      <c r="P336" s="39">
        <v>58</v>
      </c>
      <c r="Q336" s="39">
        <v>54</v>
      </c>
      <c r="R336" s="39">
        <v>50</v>
      </c>
      <c r="S336" s="39">
        <v>46</v>
      </c>
      <c r="T336" s="39">
        <v>46</v>
      </c>
      <c r="U336" s="39">
        <v>52</v>
      </c>
      <c r="V336" s="39">
        <v>66</v>
      </c>
      <c r="W336" s="39">
        <v>77</v>
      </c>
      <c r="X336" s="39">
        <v>83</v>
      </c>
      <c r="Y336" s="40">
        <v>84</v>
      </c>
      <c r="Z336" s="41">
        <f t="shared" si="24"/>
        <v>1620</v>
      </c>
      <c r="AA336" s="42">
        <f t="shared" si="25"/>
        <v>67.5</v>
      </c>
    </row>
    <row r="337" spans="1:27" ht="14.1" customHeight="1" x14ac:dyDescent="0.2">
      <c r="A337" s="37">
        <v>28</v>
      </c>
      <c r="B337" s="38">
        <v>76</v>
      </c>
      <c r="C337" s="39">
        <v>67</v>
      </c>
      <c r="D337" s="39">
        <v>63</v>
      </c>
      <c r="E337" s="39">
        <v>60</v>
      </c>
      <c r="F337" s="39">
        <v>59</v>
      </c>
      <c r="G337" s="39">
        <v>60</v>
      </c>
      <c r="H337" s="39">
        <v>69</v>
      </c>
      <c r="I337" s="39">
        <v>79</v>
      </c>
      <c r="J337" s="39">
        <v>84</v>
      </c>
      <c r="K337" s="39">
        <v>85</v>
      </c>
      <c r="L337" s="39">
        <v>81</v>
      </c>
      <c r="M337" s="39">
        <v>70</v>
      </c>
      <c r="N337" s="39">
        <v>63</v>
      </c>
      <c r="O337" s="39">
        <v>58</v>
      </c>
      <c r="P337" s="39">
        <v>55</v>
      </c>
      <c r="Q337" s="39">
        <v>51</v>
      </c>
      <c r="R337" s="39">
        <v>48</v>
      </c>
      <c r="S337" s="39">
        <v>45</v>
      </c>
      <c r="T337" s="39">
        <v>43</v>
      </c>
      <c r="U337" s="39">
        <v>46</v>
      </c>
      <c r="V337" s="39">
        <v>53</v>
      </c>
      <c r="W337" s="39">
        <v>63</v>
      </c>
      <c r="X337" s="39">
        <v>72</v>
      </c>
      <c r="Y337" s="40">
        <v>76</v>
      </c>
      <c r="Z337" s="41">
        <f t="shared" si="24"/>
        <v>1526</v>
      </c>
      <c r="AA337" s="42">
        <f t="shared" si="25"/>
        <v>63.583333333333336</v>
      </c>
    </row>
    <row r="338" spans="1:27" ht="14.1" customHeight="1" x14ac:dyDescent="0.2">
      <c r="A338" s="37">
        <v>29</v>
      </c>
      <c r="B338" s="38">
        <v>73</v>
      </c>
      <c r="C338" s="39">
        <v>66</v>
      </c>
      <c r="D338" s="39">
        <v>61</v>
      </c>
      <c r="E338" s="39">
        <v>59</v>
      </c>
      <c r="F338" s="39">
        <v>58</v>
      </c>
      <c r="G338" s="39">
        <v>60</v>
      </c>
      <c r="H338" s="39">
        <v>66</v>
      </c>
      <c r="I338" s="39">
        <v>73</v>
      </c>
      <c r="J338" s="39">
        <v>78</v>
      </c>
      <c r="K338" s="39">
        <v>78</v>
      </c>
      <c r="L338" s="39">
        <v>76</v>
      </c>
      <c r="M338" s="39">
        <v>71</v>
      </c>
      <c r="N338" s="39">
        <v>66</v>
      </c>
      <c r="O338" s="39">
        <v>61</v>
      </c>
      <c r="P338" s="39">
        <v>58</v>
      </c>
      <c r="Q338" s="39">
        <v>54</v>
      </c>
      <c r="R338" s="39">
        <v>51</v>
      </c>
      <c r="S338" s="39">
        <v>48</v>
      </c>
      <c r="T338" s="39">
        <v>44</v>
      </c>
      <c r="U338" s="39">
        <v>46</v>
      </c>
      <c r="V338" s="39">
        <v>51</v>
      </c>
      <c r="W338" s="39">
        <v>58</v>
      </c>
      <c r="X338" s="39">
        <v>67</v>
      </c>
      <c r="Y338" s="40">
        <v>75</v>
      </c>
      <c r="Z338" s="41">
        <f t="shared" si="24"/>
        <v>1498</v>
      </c>
      <c r="AA338" s="42">
        <f t="shared" si="25"/>
        <v>62.416666666666664</v>
      </c>
    </row>
    <row r="339" spans="1:27" ht="14.1" customHeight="1" x14ac:dyDescent="0.2">
      <c r="A339" s="37">
        <v>30</v>
      </c>
      <c r="B339" s="38">
        <v>78</v>
      </c>
      <c r="C339" s="39">
        <v>77</v>
      </c>
      <c r="D339" s="39">
        <v>72</v>
      </c>
      <c r="E339" s="39">
        <v>69</v>
      </c>
      <c r="F339" s="39">
        <v>68</v>
      </c>
      <c r="G339" s="39">
        <v>68</v>
      </c>
      <c r="H339" s="39">
        <v>71</v>
      </c>
      <c r="I339" s="39">
        <v>76</v>
      </c>
      <c r="J339" s="39">
        <v>80</v>
      </c>
      <c r="K339" s="39">
        <v>82</v>
      </c>
      <c r="L339" s="39">
        <v>80</v>
      </c>
      <c r="M339" s="39">
        <v>74</v>
      </c>
      <c r="N339" s="39">
        <v>68</v>
      </c>
      <c r="O339" s="39">
        <v>64</v>
      </c>
      <c r="P339" s="39">
        <v>61</v>
      </c>
      <c r="Q339" s="39">
        <v>58</v>
      </c>
      <c r="R339" s="39">
        <v>54</v>
      </c>
      <c r="S339" s="39">
        <v>52</v>
      </c>
      <c r="T339" s="39">
        <v>51</v>
      </c>
      <c r="U339" s="39">
        <v>47</v>
      </c>
      <c r="V339" s="39">
        <v>43</v>
      </c>
      <c r="W339" s="39">
        <v>44</v>
      </c>
      <c r="X339" s="39">
        <v>50</v>
      </c>
      <c r="Y339" s="40">
        <v>58</v>
      </c>
      <c r="Z339" s="41">
        <f t="shared" si="24"/>
        <v>1545</v>
      </c>
      <c r="AA339" s="42">
        <f t="shared" si="25"/>
        <v>64.375</v>
      </c>
    </row>
    <row r="340" spans="1:27" ht="14.1" customHeight="1" x14ac:dyDescent="0.2">
      <c r="A340" s="37">
        <v>31</v>
      </c>
      <c r="B340" s="44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6"/>
      <c r="Z340" s="47">
        <f t="shared" si="24"/>
        <v>0</v>
      </c>
      <c r="AA340" s="48" t="e">
        <f t="shared" si="25"/>
        <v>#DIV/0!</v>
      </c>
    </row>
    <row r="341" spans="1:27" ht="14.1" customHeight="1" x14ac:dyDescent="0.2">
      <c r="A341" s="27" t="s">
        <v>7</v>
      </c>
      <c r="B341" s="49">
        <f t="shared" ref="B341:Y341" si="26">SUM(B310:B340)</f>
        <v>1453</v>
      </c>
      <c r="C341" s="49">
        <f t="shared" si="26"/>
        <v>1393</v>
      </c>
      <c r="D341" s="49">
        <f t="shared" si="26"/>
        <v>1376</v>
      </c>
      <c r="E341" s="49">
        <f t="shared" si="26"/>
        <v>1445</v>
      </c>
      <c r="F341" s="49">
        <f t="shared" si="26"/>
        <v>1589</v>
      </c>
      <c r="G341" s="49">
        <f t="shared" si="26"/>
        <v>1791</v>
      </c>
      <c r="H341" s="49">
        <f t="shared" si="26"/>
        <v>2023</v>
      </c>
      <c r="I341" s="49">
        <f t="shared" si="26"/>
        <v>2196</v>
      </c>
      <c r="J341" s="49">
        <f t="shared" si="26"/>
        <v>2270</v>
      </c>
      <c r="K341" s="49">
        <f t="shared" si="26"/>
        <v>2232</v>
      </c>
      <c r="L341" s="49">
        <f t="shared" si="26"/>
        <v>2079</v>
      </c>
      <c r="M341" s="49">
        <f t="shared" si="26"/>
        <v>1893</v>
      </c>
      <c r="N341" s="49">
        <f t="shared" si="26"/>
        <v>1744</v>
      </c>
      <c r="O341" s="49">
        <f t="shared" si="26"/>
        <v>1615</v>
      </c>
      <c r="P341" s="49">
        <f t="shared" si="26"/>
        <v>1545</v>
      </c>
      <c r="Q341" s="50">
        <f t="shared" si="26"/>
        <v>1521</v>
      </c>
      <c r="R341" s="49">
        <f t="shared" si="26"/>
        <v>1556</v>
      </c>
      <c r="S341" s="49">
        <f t="shared" si="26"/>
        <v>1620</v>
      </c>
      <c r="T341" s="49">
        <f t="shared" si="26"/>
        <v>1697</v>
      </c>
      <c r="U341" s="49">
        <f t="shared" si="26"/>
        <v>1735</v>
      </c>
      <c r="V341" s="49">
        <f t="shared" si="26"/>
        <v>1733</v>
      </c>
      <c r="W341" s="49">
        <f t="shared" si="26"/>
        <v>1706</v>
      </c>
      <c r="X341" s="49">
        <f t="shared" si="26"/>
        <v>1649</v>
      </c>
      <c r="Y341" s="49">
        <f t="shared" si="26"/>
        <v>1569</v>
      </c>
      <c r="Z341" s="51">
        <f>SUM(B310:Y340)</f>
        <v>41430</v>
      </c>
      <c r="AA341" s="52">
        <f>AVERAGE(B310:Y340)</f>
        <v>57.541666666666664</v>
      </c>
    </row>
    <row r="342" spans="1:27" ht="14.1" customHeight="1" x14ac:dyDescent="0.25">
      <c r="A342" s="53" t="s">
        <v>10</v>
      </c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 spans="1:27" ht="14.1" customHeight="1" x14ac:dyDescent="0.25">
      <c r="A343" s="55" t="str">
        <f>A305</f>
        <v>Trạm: Gò Dầu Hạ</v>
      </c>
      <c r="B343" s="2"/>
      <c r="C343" s="3"/>
      <c r="D343" s="4"/>
      <c r="E343" s="5"/>
      <c r="F343" s="5"/>
      <c r="G343" s="5"/>
      <c r="H343" s="5"/>
      <c r="I343" s="6"/>
      <c r="J343" s="4"/>
      <c r="K343" s="5"/>
      <c r="L343" s="5"/>
      <c r="M343" s="5"/>
      <c r="N343" s="5"/>
      <c r="O343" s="4"/>
      <c r="P343" s="6"/>
      <c r="Q343" s="4"/>
      <c r="R343" s="5"/>
      <c r="S343" s="5"/>
      <c r="T343" s="5"/>
      <c r="U343" s="5"/>
      <c r="V343" s="6"/>
      <c r="W343" s="4"/>
      <c r="X343" s="7"/>
      <c r="Y343" s="5"/>
      <c r="Z343" s="5"/>
      <c r="AA343" s="5"/>
    </row>
    <row r="344" spans="1:27" ht="14.1" customHeight="1" x14ac:dyDescent="0.25">
      <c r="A344" s="55" t="str">
        <f>A306</f>
        <v>Sông: Vàm Cỏ Đông</v>
      </c>
      <c r="B344" s="2"/>
      <c r="C344" s="2"/>
      <c r="D344" s="9"/>
      <c r="E344" s="10"/>
      <c r="F344" s="10"/>
      <c r="G344" s="10"/>
      <c r="H344" s="10"/>
      <c r="I344" s="11"/>
      <c r="J344" s="11"/>
      <c r="K344" s="5"/>
      <c r="L344" s="5"/>
      <c r="M344" s="12" t="s">
        <v>2</v>
      </c>
      <c r="N344" s="13"/>
      <c r="O344" s="13"/>
      <c r="P344" s="13"/>
      <c r="Q344" s="14"/>
      <c r="R344" s="14"/>
      <c r="S344" s="10"/>
      <c r="T344" s="10"/>
      <c r="U344" s="10"/>
      <c r="V344" s="11"/>
      <c r="W344" s="11"/>
      <c r="X344" s="7"/>
      <c r="Y344" s="5"/>
      <c r="Z344" s="5"/>
      <c r="AA344" s="5"/>
    </row>
    <row r="345" spans="1:27" ht="14.1" customHeight="1" x14ac:dyDescent="0.25">
      <c r="A345" s="56" t="s">
        <v>3</v>
      </c>
      <c r="B345" s="16">
        <f>B307+1</f>
        <v>10</v>
      </c>
      <c r="C345" s="16"/>
      <c r="D345" s="17"/>
      <c r="E345" s="9"/>
      <c r="F345" s="18"/>
      <c r="G345" s="10"/>
      <c r="H345" s="10"/>
      <c r="I345" s="10"/>
      <c r="J345" s="4"/>
      <c r="K345" s="5"/>
      <c r="L345" s="5"/>
      <c r="M345" s="19"/>
      <c r="N345" s="20" t="s">
        <v>4</v>
      </c>
      <c r="O345" s="22">
        <f>O307</f>
        <v>2025</v>
      </c>
      <c r="P345" s="22"/>
      <c r="Q345" s="13"/>
      <c r="R345" s="14"/>
      <c r="S345" s="18"/>
      <c r="T345" s="10"/>
      <c r="U345" s="10"/>
      <c r="V345" s="10"/>
      <c r="W345" s="4"/>
      <c r="X345" s="23" t="s">
        <v>5</v>
      </c>
      <c r="Y345" s="5"/>
      <c r="Z345" s="5"/>
      <c r="AA345" s="5"/>
    </row>
    <row r="346" spans="1:27" ht="14.1" customHeight="1" x14ac:dyDescent="0.2">
      <c r="A346" s="24" t="s">
        <v>6</v>
      </c>
      <c r="B346" s="25">
        <v>0</v>
      </c>
      <c r="C346" s="26">
        <v>1</v>
      </c>
      <c r="D346" s="25">
        <v>2</v>
      </c>
      <c r="E346" s="25">
        <v>3</v>
      </c>
      <c r="F346" s="26">
        <v>4</v>
      </c>
      <c r="G346" s="25">
        <v>5</v>
      </c>
      <c r="H346" s="25">
        <v>6</v>
      </c>
      <c r="I346" s="26">
        <v>7</v>
      </c>
      <c r="J346" s="25">
        <v>8</v>
      </c>
      <c r="K346" s="25">
        <v>9</v>
      </c>
      <c r="L346" s="25">
        <v>10</v>
      </c>
      <c r="M346" s="25">
        <v>11</v>
      </c>
      <c r="N346" s="25">
        <v>12</v>
      </c>
      <c r="O346" s="25">
        <v>13</v>
      </c>
      <c r="P346" s="26">
        <v>14</v>
      </c>
      <c r="Q346" s="25">
        <v>15</v>
      </c>
      <c r="R346" s="26">
        <v>16</v>
      </c>
      <c r="S346" s="25">
        <v>17</v>
      </c>
      <c r="T346" s="26">
        <v>18</v>
      </c>
      <c r="U346" s="25">
        <v>19</v>
      </c>
      <c r="V346" s="26">
        <v>20</v>
      </c>
      <c r="W346" s="25">
        <v>21</v>
      </c>
      <c r="X346" s="26">
        <v>22</v>
      </c>
      <c r="Y346" s="25">
        <v>23</v>
      </c>
      <c r="Z346" s="27" t="s">
        <v>7</v>
      </c>
      <c r="AA346" s="27" t="s">
        <v>8</v>
      </c>
    </row>
    <row r="347" spans="1:27" ht="14.1" customHeight="1" x14ac:dyDescent="0.2">
      <c r="A347" s="28" t="s">
        <v>9</v>
      </c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30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 spans="1:27" ht="14.1" customHeight="1" x14ac:dyDescent="0.2">
      <c r="A348" s="31">
        <v>1</v>
      </c>
      <c r="B348" s="32">
        <v>67</v>
      </c>
      <c r="C348" s="33">
        <v>73</v>
      </c>
      <c r="D348" s="33">
        <v>76</v>
      </c>
      <c r="E348" s="33">
        <v>77</v>
      </c>
      <c r="F348" s="33">
        <v>74</v>
      </c>
      <c r="G348" s="33">
        <v>71</v>
      </c>
      <c r="H348" s="33">
        <v>70</v>
      </c>
      <c r="I348" s="33">
        <v>70</v>
      </c>
      <c r="J348" s="33">
        <v>71</v>
      </c>
      <c r="K348" s="33">
        <v>72</v>
      </c>
      <c r="L348" s="33">
        <v>71</v>
      </c>
      <c r="M348" s="33">
        <v>69</v>
      </c>
      <c r="N348" s="33">
        <v>66</v>
      </c>
      <c r="O348" s="33">
        <v>63</v>
      </c>
      <c r="P348" s="33">
        <v>60</v>
      </c>
      <c r="Q348" s="33">
        <v>57</v>
      </c>
      <c r="R348" s="33">
        <v>55</v>
      </c>
      <c r="S348" s="33">
        <v>52</v>
      </c>
      <c r="T348" s="33">
        <v>48</v>
      </c>
      <c r="U348" s="33">
        <v>45</v>
      </c>
      <c r="V348" s="33">
        <v>41</v>
      </c>
      <c r="W348" s="33">
        <v>40</v>
      </c>
      <c r="X348" s="33">
        <v>40</v>
      </c>
      <c r="Y348" s="34">
        <v>46</v>
      </c>
      <c r="Z348" s="35">
        <f t="shared" ref="Z348:Z378" si="27">SUM(B348:Y348)</f>
        <v>1474</v>
      </c>
      <c r="AA348" s="36">
        <f t="shared" ref="AA348:AA378" si="28">AVERAGE(B348:Y348)</f>
        <v>61.416666666666664</v>
      </c>
    </row>
    <row r="349" spans="1:27" ht="14.1" customHeight="1" x14ac:dyDescent="0.2">
      <c r="A349" s="37">
        <v>2</v>
      </c>
      <c r="B349" s="38">
        <v>55</v>
      </c>
      <c r="C349" s="39">
        <v>64</v>
      </c>
      <c r="D349" s="39">
        <v>72</v>
      </c>
      <c r="E349" s="39">
        <v>77</v>
      </c>
      <c r="F349" s="39">
        <v>79</v>
      </c>
      <c r="G349" s="39">
        <v>81</v>
      </c>
      <c r="H349" s="39">
        <v>81</v>
      </c>
      <c r="I349" s="39">
        <v>79</v>
      </c>
      <c r="J349" s="39">
        <v>73</v>
      </c>
      <c r="K349" s="39">
        <v>68</v>
      </c>
      <c r="L349" s="39">
        <v>66</v>
      </c>
      <c r="M349" s="39">
        <v>64</v>
      </c>
      <c r="N349" s="39">
        <v>63</v>
      </c>
      <c r="O349" s="39">
        <v>62</v>
      </c>
      <c r="P349" s="39">
        <v>61</v>
      </c>
      <c r="Q349" s="39">
        <v>59</v>
      </c>
      <c r="R349" s="39">
        <v>56</v>
      </c>
      <c r="S349" s="39">
        <v>53</v>
      </c>
      <c r="T349" s="39">
        <v>50</v>
      </c>
      <c r="U349" s="39">
        <v>46</v>
      </c>
      <c r="V349" s="39">
        <v>42</v>
      </c>
      <c r="W349" s="39">
        <v>39</v>
      </c>
      <c r="X349" s="39">
        <v>36</v>
      </c>
      <c r="Y349" s="40">
        <v>36</v>
      </c>
      <c r="Z349" s="41">
        <f t="shared" si="27"/>
        <v>1462</v>
      </c>
      <c r="AA349" s="42">
        <f t="shared" si="28"/>
        <v>60.916666666666664</v>
      </c>
    </row>
    <row r="350" spans="1:27" ht="14.1" customHeight="1" x14ac:dyDescent="0.2">
      <c r="A350" s="37">
        <v>3</v>
      </c>
      <c r="B350" s="38">
        <v>41</v>
      </c>
      <c r="C350" s="39">
        <v>53</v>
      </c>
      <c r="D350" s="39">
        <v>66</v>
      </c>
      <c r="E350" s="39">
        <v>76</v>
      </c>
      <c r="F350" s="39">
        <v>82</v>
      </c>
      <c r="G350" s="39">
        <v>86</v>
      </c>
      <c r="H350" s="39">
        <v>85</v>
      </c>
      <c r="I350" s="39">
        <v>84</v>
      </c>
      <c r="J350" s="39">
        <v>78</v>
      </c>
      <c r="K350" s="39">
        <v>73</v>
      </c>
      <c r="L350" s="39">
        <v>70</v>
      </c>
      <c r="M350" s="39">
        <v>68</v>
      </c>
      <c r="N350" s="39">
        <v>67</v>
      </c>
      <c r="O350" s="39">
        <v>67</v>
      </c>
      <c r="P350" s="39">
        <v>68</v>
      </c>
      <c r="Q350" s="39">
        <v>69</v>
      </c>
      <c r="R350" s="39">
        <v>68</v>
      </c>
      <c r="S350" s="39">
        <v>66</v>
      </c>
      <c r="T350" s="39">
        <v>63</v>
      </c>
      <c r="U350" s="39">
        <v>60</v>
      </c>
      <c r="V350" s="39">
        <v>56</v>
      </c>
      <c r="W350" s="39">
        <v>53</v>
      </c>
      <c r="X350" s="39">
        <v>50</v>
      </c>
      <c r="Y350" s="40">
        <v>47</v>
      </c>
      <c r="Z350" s="41">
        <f t="shared" si="27"/>
        <v>1596</v>
      </c>
      <c r="AA350" s="42">
        <f t="shared" si="28"/>
        <v>66.5</v>
      </c>
    </row>
    <row r="351" spans="1:27" ht="14.1" customHeight="1" x14ac:dyDescent="0.2">
      <c r="A351" s="37">
        <v>4</v>
      </c>
      <c r="B351" s="38">
        <v>47</v>
      </c>
      <c r="C351" s="39">
        <v>53</v>
      </c>
      <c r="D351" s="39">
        <v>64</v>
      </c>
      <c r="E351" s="39">
        <v>76</v>
      </c>
      <c r="F351" s="39">
        <v>85</v>
      </c>
      <c r="G351" s="39">
        <v>88</v>
      </c>
      <c r="H351" s="39">
        <v>88</v>
      </c>
      <c r="I351" s="39">
        <v>84</v>
      </c>
      <c r="J351" s="39">
        <v>74</v>
      </c>
      <c r="K351" s="39">
        <v>65</v>
      </c>
      <c r="L351" s="39">
        <v>62</v>
      </c>
      <c r="M351" s="39">
        <v>60</v>
      </c>
      <c r="N351" s="39">
        <v>59</v>
      </c>
      <c r="O351" s="39">
        <v>60</v>
      </c>
      <c r="P351" s="39">
        <v>64</v>
      </c>
      <c r="Q351" s="39">
        <v>69</v>
      </c>
      <c r="R351" s="39">
        <v>71</v>
      </c>
      <c r="S351" s="39">
        <v>70</v>
      </c>
      <c r="T351" s="39">
        <v>65</v>
      </c>
      <c r="U351" s="39">
        <v>61</v>
      </c>
      <c r="V351" s="39">
        <v>56</v>
      </c>
      <c r="W351" s="39">
        <v>52</v>
      </c>
      <c r="X351" s="39">
        <v>49</v>
      </c>
      <c r="Y351" s="40">
        <v>45</v>
      </c>
      <c r="Z351" s="41">
        <f t="shared" si="27"/>
        <v>1567</v>
      </c>
      <c r="AA351" s="42">
        <f t="shared" si="28"/>
        <v>65.291666666666671</v>
      </c>
    </row>
    <row r="352" spans="1:27" ht="14.1" customHeight="1" x14ac:dyDescent="0.2">
      <c r="A352" s="37">
        <v>5</v>
      </c>
      <c r="B352" s="38">
        <v>42</v>
      </c>
      <c r="C352" s="39">
        <v>42</v>
      </c>
      <c r="D352" s="39">
        <v>50</v>
      </c>
      <c r="E352" s="39">
        <v>64</v>
      </c>
      <c r="F352" s="39">
        <v>75</v>
      </c>
      <c r="G352" s="39">
        <v>81</v>
      </c>
      <c r="H352" s="39">
        <v>83</v>
      </c>
      <c r="I352" s="39">
        <v>81</v>
      </c>
      <c r="J352" s="39">
        <v>71</v>
      </c>
      <c r="K352" s="39">
        <v>62</v>
      </c>
      <c r="L352" s="39">
        <v>58</v>
      </c>
      <c r="M352" s="39">
        <v>54</v>
      </c>
      <c r="N352" s="39">
        <v>52</v>
      </c>
      <c r="O352" s="39">
        <v>53</v>
      </c>
      <c r="P352" s="39">
        <v>58</v>
      </c>
      <c r="Q352" s="39">
        <v>67</v>
      </c>
      <c r="R352" s="39">
        <v>75</v>
      </c>
      <c r="S352" s="39">
        <v>78</v>
      </c>
      <c r="T352" s="39">
        <v>75</v>
      </c>
      <c r="U352" s="39">
        <v>66</v>
      </c>
      <c r="V352" s="39">
        <v>57</v>
      </c>
      <c r="W352" s="39">
        <v>53</v>
      </c>
      <c r="X352" s="39">
        <v>49</v>
      </c>
      <c r="Y352" s="40">
        <v>45</v>
      </c>
      <c r="Z352" s="41">
        <f t="shared" si="27"/>
        <v>1491</v>
      </c>
      <c r="AA352" s="42">
        <f t="shared" si="28"/>
        <v>62.125</v>
      </c>
    </row>
    <row r="353" spans="1:27" ht="14.1" customHeight="1" x14ac:dyDescent="0.2">
      <c r="A353" s="37">
        <v>6</v>
      </c>
      <c r="B353" s="38">
        <v>41</v>
      </c>
      <c r="C353" s="39">
        <v>38</v>
      </c>
      <c r="D353" s="39">
        <v>41</v>
      </c>
      <c r="E353" s="39">
        <v>53</v>
      </c>
      <c r="F353" s="39">
        <v>69</v>
      </c>
      <c r="G353" s="39">
        <v>78</v>
      </c>
      <c r="H353" s="39">
        <v>81</v>
      </c>
      <c r="I353" s="39">
        <v>79</v>
      </c>
      <c r="J353" s="39">
        <v>70</v>
      </c>
      <c r="K353" s="39">
        <v>59</v>
      </c>
      <c r="L353" s="39">
        <v>54</v>
      </c>
      <c r="M353" s="39">
        <v>50</v>
      </c>
      <c r="N353" s="39">
        <v>47</v>
      </c>
      <c r="O353" s="39">
        <v>45</v>
      </c>
      <c r="P353" s="39">
        <v>49</v>
      </c>
      <c r="Q353" s="39">
        <v>63</v>
      </c>
      <c r="R353" s="39">
        <v>76</v>
      </c>
      <c r="S353" s="39">
        <v>82</v>
      </c>
      <c r="T353" s="39">
        <v>83</v>
      </c>
      <c r="U353" s="39">
        <v>81</v>
      </c>
      <c r="V353" s="39">
        <v>70</v>
      </c>
      <c r="W353" s="39">
        <v>59</v>
      </c>
      <c r="X353" s="39">
        <v>53</v>
      </c>
      <c r="Y353" s="40">
        <v>49</v>
      </c>
      <c r="Z353" s="41">
        <f t="shared" si="27"/>
        <v>1470</v>
      </c>
      <c r="AA353" s="42">
        <f t="shared" si="28"/>
        <v>61.25</v>
      </c>
    </row>
    <row r="354" spans="1:27" ht="14.1" customHeight="1" x14ac:dyDescent="0.2">
      <c r="A354" s="37">
        <v>7</v>
      </c>
      <c r="B354" s="38">
        <v>45</v>
      </c>
      <c r="C354" s="39">
        <v>42</v>
      </c>
      <c r="D354" s="39">
        <v>39</v>
      </c>
      <c r="E354" s="39">
        <v>48</v>
      </c>
      <c r="F354" s="39">
        <v>64</v>
      </c>
      <c r="G354" s="39">
        <v>76</v>
      </c>
      <c r="H354" s="39">
        <v>81</v>
      </c>
      <c r="I354" s="39">
        <v>82</v>
      </c>
      <c r="J354" s="39">
        <v>79</v>
      </c>
      <c r="K354" s="39">
        <v>68</v>
      </c>
      <c r="L354" s="39">
        <v>60</v>
      </c>
      <c r="M354" s="39">
        <v>56</v>
      </c>
      <c r="N354" s="39">
        <v>52</v>
      </c>
      <c r="O354" s="39">
        <v>49</v>
      </c>
      <c r="P354" s="39">
        <v>47</v>
      </c>
      <c r="Q354" s="39">
        <v>55</v>
      </c>
      <c r="R354" s="39">
        <v>70</v>
      </c>
      <c r="S354" s="39">
        <v>82</v>
      </c>
      <c r="T354" s="39">
        <v>87</v>
      </c>
      <c r="U354" s="39">
        <v>88</v>
      </c>
      <c r="V354" s="39">
        <v>86</v>
      </c>
      <c r="W354" s="39">
        <v>77</v>
      </c>
      <c r="X354" s="39">
        <v>64</v>
      </c>
      <c r="Y354" s="40">
        <v>58</v>
      </c>
      <c r="Z354" s="41">
        <f t="shared" si="27"/>
        <v>1555</v>
      </c>
      <c r="AA354" s="42">
        <f t="shared" si="28"/>
        <v>64.791666666666671</v>
      </c>
    </row>
    <row r="355" spans="1:27" ht="14.1" customHeight="1" x14ac:dyDescent="0.2">
      <c r="A355" s="37">
        <v>8</v>
      </c>
      <c r="B355" s="38">
        <v>55</v>
      </c>
      <c r="C355" s="39">
        <v>52</v>
      </c>
      <c r="D355" s="39">
        <v>48</v>
      </c>
      <c r="E355" s="39">
        <v>47</v>
      </c>
      <c r="F355" s="39">
        <v>59</v>
      </c>
      <c r="G355" s="39">
        <v>75</v>
      </c>
      <c r="H355" s="39">
        <v>85</v>
      </c>
      <c r="I355" s="39">
        <v>88</v>
      </c>
      <c r="J355" s="39">
        <v>89</v>
      </c>
      <c r="K355" s="39">
        <v>84</v>
      </c>
      <c r="L355" s="39">
        <v>70</v>
      </c>
      <c r="M355" s="39">
        <v>60</v>
      </c>
      <c r="N355" s="39">
        <v>57</v>
      </c>
      <c r="O355" s="39">
        <v>53</v>
      </c>
      <c r="P355" s="39">
        <v>50</v>
      </c>
      <c r="Q355" s="39">
        <v>46</v>
      </c>
      <c r="R355" s="39">
        <v>52</v>
      </c>
      <c r="S355" s="39">
        <v>68</v>
      </c>
      <c r="T355" s="39">
        <v>83</v>
      </c>
      <c r="U355" s="39">
        <v>89</v>
      </c>
      <c r="V355" s="39">
        <v>91</v>
      </c>
      <c r="W355" s="39">
        <v>94</v>
      </c>
      <c r="X355" s="39">
        <v>87</v>
      </c>
      <c r="Y355" s="40">
        <v>74</v>
      </c>
      <c r="Z355" s="41">
        <f t="shared" si="27"/>
        <v>1656</v>
      </c>
      <c r="AA355" s="42">
        <f t="shared" si="28"/>
        <v>69</v>
      </c>
    </row>
    <row r="356" spans="1:27" ht="14.1" customHeight="1" x14ac:dyDescent="0.2">
      <c r="A356" s="37">
        <v>9</v>
      </c>
      <c r="B356" s="38">
        <v>67</v>
      </c>
      <c r="C356" s="39">
        <v>65</v>
      </c>
      <c r="D356" s="39">
        <v>62</v>
      </c>
      <c r="E356" s="39">
        <v>59</v>
      </c>
      <c r="F356" s="39">
        <v>63</v>
      </c>
      <c r="G356" s="39">
        <v>79</v>
      </c>
      <c r="H356" s="39">
        <v>93</v>
      </c>
      <c r="I356" s="39">
        <v>97</v>
      </c>
      <c r="J356" s="39">
        <v>98</v>
      </c>
      <c r="K356" s="39">
        <v>94</v>
      </c>
      <c r="L356" s="39">
        <v>82</v>
      </c>
      <c r="M356" s="39">
        <v>72</v>
      </c>
      <c r="N356" s="39">
        <v>68</v>
      </c>
      <c r="O356" s="39">
        <v>65</v>
      </c>
      <c r="P356" s="39">
        <v>62</v>
      </c>
      <c r="Q356" s="39">
        <v>59</v>
      </c>
      <c r="R356" s="39">
        <v>57</v>
      </c>
      <c r="S356" s="39">
        <v>68</v>
      </c>
      <c r="T356" s="39">
        <v>85</v>
      </c>
      <c r="U356" s="39">
        <v>96</v>
      </c>
      <c r="V356" s="39">
        <v>100</v>
      </c>
      <c r="W356" s="39">
        <v>101</v>
      </c>
      <c r="X356" s="39">
        <v>98</v>
      </c>
      <c r="Y356" s="40">
        <v>88</v>
      </c>
      <c r="Z356" s="41">
        <f t="shared" si="27"/>
        <v>1878</v>
      </c>
      <c r="AA356" s="42">
        <f t="shared" si="28"/>
        <v>78.25</v>
      </c>
    </row>
    <row r="357" spans="1:27" ht="14.1" customHeight="1" x14ac:dyDescent="0.2">
      <c r="A357" s="37">
        <v>10</v>
      </c>
      <c r="B357" s="38">
        <v>77</v>
      </c>
      <c r="C357" s="39">
        <v>72</v>
      </c>
      <c r="D357" s="39">
        <v>69</v>
      </c>
      <c r="E357" s="39">
        <v>67</v>
      </c>
      <c r="F357" s="39">
        <v>70</v>
      </c>
      <c r="G357" s="39">
        <v>83</v>
      </c>
      <c r="H357" s="39">
        <v>96</v>
      </c>
      <c r="I357" s="39">
        <v>101</v>
      </c>
      <c r="J357" s="39">
        <v>104</v>
      </c>
      <c r="K357" s="39">
        <v>102</v>
      </c>
      <c r="L357" s="39">
        <v>94</v>
      </c>
      <c r="M357" s="39">
        <v>82</v>
      </c>
      <c r="N357" s="39">
        <v>76</v>
      </c>
      <c r="O357" s="39">
        <v>72</v>
      </c>
      <c r="P357" s="39">
        <v>69</v>
      </c>
      <c r="Q357" s="39">
        <v>67</v>
      </c>
      <c r="R357" s="39">
        <v>63</v>
      </c>
      <c r="S357" s="39">
        <v>63</v>
      </c>
      <c r="T357" s="39">
        <v>75</v>
      </c>
      <c r="U357" s="39">
        <v>91</v>
      </c>
      <c r="V357" s="39">
        <v>102</v>
      </c>
      <c r="W357" s="39">
        <v>106</v>
      </c>
      <c r="X357" s="39">
        <v>106</v>
      </c>
      <c r="Y357" s="40">
        <v>104</v>
      </c>
      <c r="Z357" s="41">
        <f t="shared" si="27"/>
        <v>2011</v>
      </c>
      <c r="AA357" s="42">
        <f t="shared" si="28"/>
        <v>83.791666666666671</v>
      </c>
    </row>
    <row r="358" spans="1:27" ht="14.1" customHeight="1" x14ac:dyDescent="0.2">
      <c r="A358" s="37">
        <v>11</v>
      </c>
      <c r="B358" s="38">
        <v>95</v>
      </c>
      <c r="C358" s="39">
        <v>85</v>
      </c>
      <c r="D358" s="39">
        <v>80</v>
      </c>
      <c r="E358" s="39">
        <v>78</v>
      </c>
      <c r="F358" s="39">
        <v>76</v>
      </c>
      <c r="G358" s="39">
        <v>82</v>
      </c>
      <c r="H358" s="39">
        <v>96</v>
      </c>
      <c r="I358" s="39">
        <v>105</v>
      </c>
      <c r="J358" s="39">
        <v>106</v>
      </c>
      <c r="K358" s="39">
        <v>105</v>
      </c>
      <c r="L358" s="39">
        <v>98</v>
      </c>
      <c r="M358" s="39">
        <v>87</v>
      </c>
      <c r="N358" s="39">
        <v>81</v>
      </c>
      <c r="O358" s="39">
        <v>78</v>
      </c>
      <c r="P358" s="39">
        <v>76</v>
      </c>
      <c r="Q358" s="39">
        <v>72</v>
      </c>
      <c r="R358" s="39">
        <v>69</v>
      </c>
      <c r="S358" s="39">
        <v>67</v>
      </c>
      <c r="T358" s="39">
        <v>72</v>
      </c>
      <c r="U358" s="39">
        <v>82</v>
      </c>
      <c r="V358" s="39">
        <v>95</v>
      </c>
      <c r="W358" s="39">
        <v>103</v>
      </c>
      <c r="X358" s="39">
        <v>106</v>
      </c>
      <c r="Y358" s="40">
        <v>105</v>
      </c>
      <c r="Z358" s="41">
        <f t="shared" si="27"/>
        <v>2099</v>
      </c>
      <c r="AA358" s="42">
        <f t="shared" si="28"/>
        <v>87.458333333333329</v>
      </c>
    </row>
    <row r="359" spans="1:27" ht="14.1" customHeight="1" x14ac:dyDescent="0.2">
      <c r="A359" s="37">
        <v>12</v>
      </c>
      <c r="B359" s="38">
        <v>100</v>
      </c>
      <c r="C359" s="39">
        <v>91</v>
      </c>
      <c r="D359" s="39">
        <v>85</v>
      </c>
      <c r="E359" s="39">
        <v>83</v>
      </c>
      <c r="F359" s="39">
        <v>83</v>
      </c>
      <c r="G359" s="39">
        <v>86</v>
      </c>
      <c r="H359" s="39">
        <v>94</v>
      </c>
      <c r="I359" s="39">
        <v>103</v>
      </c>
      <c r="J359" s="39">
        <v>106</v>
      </c>
      <c r="K359" s="39">
        <v>105</v>
      </c>
      <c r="L359" s="39">
        <v>99</v>
      </c>
      <c r="M359" s="39">
        <v>90</v>
      </c>
      <c r="N359" s="39">
        <v>80</v>
      </c>
      <c r="O359" s="39">
        <v>76</v>
      </c>
      <c r="P359" s="39">
        <v>73</v>
      </c>
      <c r="Q359" s="39">
        <v>71</v>
      </c>
      <c r="R359" s="39">
        <v>68</v>
      </c>
      <c r="S359" s="39">
        <v>66</v>
      </c>
      <c r="T359" s="39">
        <v>63</v>
      </c>
      <c r="U359" s="39">
        <v>66</v>
      </c>
      <c r="V359" s="39">
        <v>76</v>
      </c>
      <c r="W359" s="39">
        <v>87</v>
      </c>
      <c r="X359" s="39">
        <v>96</v>
      </c>
      <c r="Y359" s="40">
        <v>99</v>
      </c>
      <c r="Z359" s="41">
        <f t="shared" si="27"/>
        <v>2046</v>
      </c>
      <c r="AA359" s="42">
        <f t="shared" si="28"/>
        <v>85.25</v>
      </c>
    </row>
    <row r="360" spans="1:27" ht="14.1" customHeight="1" x14ac:dyDescent="0.2">
      <c r="A360" s="37">
        <v>13</v>
      </c>
      <c r="B360" s="38">
        <v>98</v>
      </c>
      <c r="C360" s="39">
        <v>93</v>
      </c>
      <c r="D360" s="39">
        <v>86</v>
      </c>
      <c r="E360" s="39">
        <v>82</v>
      </c>
      <c r="F360" s="39">
        <v>81</v>
      </c>
      <c r="G360" s="39">
        <v>82</v>
      </c>
      <c r="H360" s="39">
        <v>86</v>
      </c>
      <c r="I360" s="39">
        <v>93</v>
      </c>
      <c r="J360" s="39">
        <v>97</v>
      </c>
      <c r="K360" s="39">
        <v>99</v>
      </c>
      <c r="L360" s="39">
        <v>98</v>
      </c>
      <c r="M360" s="39">
        <v>94</v>
      </c>
      <c r="N360" s="39">
        <v>88</v>
      </c>
      <c r="O360" s="39">
        <v>83</v>
      </c>
      <c r="P360" s="39">
        <v>80</v>
      </c>
      <c r="Q360" s="39">
        <v>77</v>
      </c>
      <c r="R360" s="39">
        <v>75</v>
      </c>
      <c r="S360" s="39">
        <v>72</v>
      </c>
      <c r="T360" s="39">
        <v>69</v>
      </c>
      <c r="U360" s="39">
        <v>66</v>
      </c>
      <c r="V360" s="39">
        <v>67</v>
      </c>
      <c r="W360" s="39">
        <v>74</v>
      </c>
      <c r="X360" s="39">
        <v>85</v>
      </c>
      <c r="Y360" s="40">
        <v>97</v>
      </c>
      <c r="Z360" s="41">
        <f t="shared" si="27"/>
        <v>2022</v>
      </c>
      <c r="AA360" s="42">
        <f t="shared" si="28"/>
        <v>84.25</v>
      </c>
    </row>
    <row r="361" spans="1:27" ht="14.1" customHeight="1" x14ac:dyDescent="0.2">
      <c r="A361" s="37">
        <v>14</v>
      </c>
      <c r="B361" s="38">
        <v>101</v>
      </c>
      <c r="C361" s="39">
        <v>102</v>
      </c>
      <c r="D361" s="39">
        <v>101</v>
      </c>
      <c r="E361" s="39">
        <v>99</v>
      </c>
      <c r="F361" s="39">
        <v>95</v>
      </c>
      <c r="G361" s="39">
        <v>94</v>
      </c>
      <c r="H361" s="39">
        <v>94</v>
      </c>
      <c r="I361" s="39">
        <v>94</v>
      </c>
      <c r="J361" s="39">
        <v>95</v>
      </c>
      <c r="K361" s="39">
        <v>96</v>
      </c>
      <c r="L361" s="39">
        <v>96</v>
      </c>
      <c r="M361" s="39">
        <v>96</v>
      </c>
      <c r="N361" s="39">
        <v>94</v>
      </c>
      <c r="O361" s="39">
        <v>91</v>
      </c>
      <c r="P361" s="39">
        <v>88</v>
      </c>
      <c r="Q361" s="39">
        <v>86</v>
      </c>
      <c r="R361" s="39">
        <v>83</v>
      </c>
      <c r="S361" s="39">
        <v>80</v>
      </c>
      <c r="T361" s="39">
        <v>78</v>
      </c>
      <c r="U361" s="39">
        <v>75</v>
      </c>
      <c r="V361" s="39">
        <v>72</v>
      </c>
      <c r="W361" s="39">
        <v>73</v>
      </c>
      <c r="X361" s="39">
        <v>77</v>
      </c>
      <c r="Y361" s="40">
        <v>84</v>
      </c>
      <c r="Z361" s="41">
        <f t="shared" si="27"/>
        <v>2144</v>
      </c>
      <c r="AA361" s="42">
        <f t="shared" si="28"/>
        <v>89.333333333333329</v>
      </c>
    </row>
    <row r="362" spans="1:27" ht="14.1" customHeight="1" x14ac:dyDescent="0.2">
      <c r="A362" s="37">
        <v>15</v>
      </c>
      <c r="B362" s="38">
        <v>93</v>
      </c>
      <c r="C362" s="39">
        <v>99</v>
      </c>
      <c r="D362" s="39">
        <v>102</v>
      </c>
      <c r="E362" s="39">
        <v>102</v>
      </c>
      <c r="F362" s="39">
        <v>100</v>
      </c>
      <c r="G362" s="39">
        <v>98</v>
      </c>
      <c r="H362" s="39">
        <v>95</v>
      </c>
      <c r="I362" s="39">
        <v>94</v>
      </c>
      <c r="J362" s="39">
        <v>94</v>
      </c>
      <c r="K362" s="39">
        <v>94</v>
      </c>
      <c r="L362" s="39">
        <v>93</v>
      </c>
      <c r="M362" s="39">
        <v>93</v>
      </c>
      <c r="N362" s="39">
        <v>93</v>
      </c>
      <c r="O362" s="39">
        <v>91</v>
      </c>
      <c r="P362" s="39">
        <v>89</v>
      </c>
      <c r="Q362" s="39">
        <v>87</v>
      </c>
      <c r="R362" s="39">
        <v>84</v>
      </c>
      <c r="S362" s="39">
        <v>82</v>
      </c>
      <c r="T362" s="39">
        <v>80</v>
      </c>
      <c r="U362" s="39">
        <v>77</v>
      </c>
      <c r="V362" s="39">
        <v>75</v>
      </c>
      <c r="W362" s="39">
        <v>73</v>
      </c>
      <c r="X362" s="39">
        <v>74</v>
      </c>
      <c r="Y362" s="40">
        <v>79</v>
      </c>
      <c r="Z362" s="41">
        <f t="shared" si="27"/>
        <v>2141</v>
      </c>
      <c r="AA362" s="42">
        <f t="shared" si="28"/>
        <v>89.208333333333329</v>
      </c>
    </row>
    <row r="363" spans="1:27" ht="14.1" customHeight="1" x14ac:dyDescent="0.2">
      <c r="A363" s="37">
        <v>16</v>
      </c>
      <c r="B363" s="38">
        <v>87</v>
      </c>
      <c r="C363" s="39">
        <v>95</v>
      </c>
      <c r="D363" s="39">
        <v>102</v>
      </c>
      <c r="E363" s="39">
        <v>105</v>
      </c>
      <c r="F363" s="39">
        <v>106</v>
      </c>
      <c r="G363" s="39">
        <v>106</v>
      </c>
      <c r="H363" s="39">
        <v>104</v>
      </c>
      <c r="I363" s="39">
        <v>100</v>
      </c>
      <c r="J363" s="39">
        <v>95</v>
      </c>
      <c r="K363" s="39">
        <v>92</v>
      </c>
      <c r="L363" s="39">
        <v>91</v>
      </c>
      <c r="M363" s="39">
        <v>90</v>
      </c>
      <c r="N363" s="39">
        <v>90</v>
      </c>
      <c r="O363" s="39">
        <v>91</v>
      </c>
      <c r="P363" s="39">
        <v>91</v>
      </c>
      <c r="Q363" s="39">
        <v>92</v>
      </c>
      <c r="R363" s="39">
        <v>90</v>
      </c>
      <c r="S363" s="39">
        <v>88</v>
      </c>
      <c r="T363" s="39">
        <v>85</v>
      </c>
      <c r="U363" s="39">
        <v>82</v>
      </c>
      <c r="V363" s="39">
        <v>78</v>
      </c>
      <c r="W363" s="39">
        <v>76</v>
      </c>
      <c r="X363" s="39">
        <v>75</v>
      </c>
      <c r="Y363" s="40">
        <v>74</v>
      </c>
      <c r="Z363" s="41">
        <f t="shared" si="27"/>
        <v>2185</v>
      </c>
      <c r="AA363" s="42">
        <f t="shared" si="28"/>
        <v>91.041666666666671</v>
      </c>
    </row>
    <row r="364" spans="1:27" ht="14.1" customHeight="1" x14ac:dyDescent="0.2">
      <c r="A364" s="37">
        <v>17</v>
      </c>
      <c r="B364" s="38">
        <v>78</v>
      </c>
      <c r="C364" s="39">
        <v>86</v>
      </c>
      <c r="D364" s="39">
        <v>96</v>
      </c>
      <c r="E364" s="39">
        <v>103</v>
      </c>
      <c r="F364" s="39">
        <v>106</v>
      </c>
      <c r="G364" s="39">
        <v>106</v>
      </c>
      <c r="H364" s="39">
        <v>105</v>
      </c>
      <c r="I364" s="39">
        <v>102</v>
      </c>
      <c r="J364" s="39">
        <v>96</v>
      </c>
      <c r="K364" s="39">
        <v>89</v>
      </c>
      <c r="L364" s="39">
        <v>86</v>
      </c>
      <c r="M364" s="39">
        <v>85</v>
      </c>
      <c r="N364" s="39">
        <v>84</v>
      </c>
      <c r="O364" s="39">
        <v>85</v>
      </c>
      <c r="P364" s="39">
        <v>86</v>
      </c>
      <c r="Q364" s="39">
        <v>88</v>
      </c>
      <c r="R364" s="39">
        <v>89</v>
      </c>
      <c r="S364" s="39">
        <v>88</v>
      </c>
      <c r="T364" s="39">
        <v>86</v>
      </c>
      <c r="U364" s="39">
        <v>83</v>
      </c>
      <c r="V364" s="39">
        <v>79</v>
      </c>
      <c r="W364" s="39">
        <v>77</v>
      </c>
      <c r="X364" s="39">
        <v>75</v>
      </c>
      <c r="Y364" s="40">
        <v>73</v>
      </c>
      <c r="Z364" s="41">
        <f t="shared" si="27"/>
        <v>2131</v>
      </c>
      <c r="AA364" s="42">
        <f t="shared" si="28"/>
        <v>88.791666666666671</v>
      </c>
    </row>
    <row r="365" spans="1:27" ht="14.1" customHeight="1" x14ac:dyDescent="0.2">
      <c r="A365" s="37">
        <v>18</v>
      </c>
      <c r="B365" s="38">
        <v>72</v>
      </c>
      <c r="C365" s="39">
        <v>77</v>
      </c>
      <c r="D365" s="39">
        <v>85</v>
      </c>
      <c r="E365" s="39">
        <v>95</v>
      </c>
      <c r="F365" s="39">
        <v>101</v>
      </c>
      <c r="G365" s="39">
        <v>103</v>
      </c>
      <c r="H365" s="39">
        <v>102</v>
      </c>
      <c r="I365" s="39">
        <v>100</v>
      </c>
      <c r="J365" s="39">
        <v>91</v>
      </c>
      <c r="K365" s="39">
        <v>86</v>
      </c>
      <c r="L365" s="39">
        <v>83</v>
      </c>
      <c r="M365" s="39">
        <v>81</v>
      </c>
      <c r="N365" s="39">
        <v>80</v>
      </c>
      <c r="O365" s="39">
        <v>80</v>
      </c>
      <c r="P365" s="39">
        <v>84</v>
      </c>
      <c r="Q365" s="39">
        <v>91</v>
      </c>
      <c r="R365" s="39">
        <v>97</v>
      </c>
      <c r="S365" s="39">
        <v>97</v>
      </c>
      <c r="T365" s="39">
        <v>94</v>
      </c>
      <c r="U365" s="39">
        <v>85</v>
      </c>
      <c r="V365" s="39">
        <v>80</v>
      </c>
      <c r="W365" s="39">
        <v>78</v>
      </c>
      <c r="X365" s="39">
        <v>75</v>
      </c>
      <c r="Y365" s="40">
        <v>74</v>
      </c>
      <c r="Z365" s="41">
        <f t="shared" si="27"/>
        <v>2091</v>
      </c>
      <c r="AA365" s="42">
        <f t="shared" si="28"/>
        <v>87.125</v>
      </c>
    </row>
    <row r="366" spans="1:27" ht="14.1" customHeight="1" x14ac:dyDescent="0.2">
      <c r="A366" s="37">
        <v>19</v>
      </c>
      <c r="B366" s="38">
        <v>72</v>
      </c>
      <c r="C366" s="39">
        <v>73</v>
      </c>
      <c r="D366" s="39">
        <v>79</v>
      </c>
      <c r="E366" s="39">
        <v>88</v>
      </c>
      <c r="F366" s="39">
        <v>96</v>
      </c>
      <c r="G366" s="39">
        <v>99</v>
      </c>
      <c r="H366" s="39">
        <v>100</v>
      </c>
      <c r="I366" s="39">
        <v>98</v>
      </c>
      <c r="J366" s="39">
        <v>91</v>
      </c>
      <c r="K366" s="39">
        <v>85</v>
      </c>
      <c r="L366" s="39">
        <v>81</v>
      </c>
      <c r="M366" s="39">
        <v>80</v>
      </c>
      <c r="N366" s="39">
        <v>78</v>
      </c>
      <c r="O366" s="39">
        <v>77</v>
      </c>
      <c r="P366" s="39">
        <v>78</v>
      </c>
      <c r="Q366" s="39">
        <v>86</v>
      </c>
      <c r="R366" s="39">
        <v>93</v>
      </c>
      <c r="S366" s="39">
        <v>99</v>
      </c>
      <c r="T366" s="39">
        <v>101</v>
      </c>
      <c r="U366" s="39">
        <v>100</v>
      </c>
      <c r="V366" s="39">
        <v>92</v>
      </c>
      <c r="W366" s="39">
        <v>88</v>
      </c>
      <c r="X366" s="39">
        <v>85</v>
      </c>
      <c r="Y366" s="40">
        <v>82</v>
      </c>
      <c r="Z366" s="41">
        <f t="shared" si="27"/>
        <v>2101</v>
      </c>
      <c r="AA366" s="42">
        <f t="shared" si="28"/>
        <v>87.541666666666671</v>
      </c>
    </row>
    <row r="367" spans="1:27" ht="14.1" customHeight="1" x14ac:dyDescent="0.2">
      <c r="A367" s="37">
        <v>20</v>
      </c>
      <c r="B367" s="38">
        <v>80</v>
      </c>
      <c r="C367" s="39">
        <v>79</v>
      </c>
      <c r="D367" s="39">
        <v>81</v>
      </c>
      <c r="E367" s="39">
        <v>88</v>
      </c>
      <c r="F367" s="39">
        <v>97</v>
      </c>
      <c r="G367" s="39">
        <v>102</v>
      </c>
      <c r="H367" s="39">
        <v>104</v>
      </c>
      <c r="I367" s="39">
        <v>104</v>
      </c>
      <c r="J367" s="39">
        <v>103</v>
      </c>
      <c r="K367" s="39">
        <v>95</v>
      </c>
      <c r="L367" s="39">
        <v>90</v>
      </c>
      <c r="M367" s="39">
        <v>87</v>
      </c>
      <c r="N367" s="39">
        <v>86</v>
      </c>
      <c r="O367" s="39">
        <v>83</v>
      </c>
      <c r="P367" s="39">
        <v>82</v>
      </c>
      <c r="Q367" s="39">
        <v>85</v>
      </c>
      <c r="R367" s="39">
        <v>92</v>
      </c>
      <c r="S367" s="39">
        <v>100</v>
      </c>
      <c r="T367" s="39">
        <v>104</v>
      </c>
      <c r="U367" s="39">
        <v>105</v>
      </c>
      <c r="V367" s="39">
        <v>104</v>
      </c>
      <c r="W367" s="39">
        <v>98</v>
      </c>
      <c r="X367" s="39">
        <v>92</v>
      </c>
      <c r="Y367" s="40">
        <v>82</v>
      </c>
      <c r="Z367" s="41">
        <f t="shared" si="27"/>
        <v>2223</v>
      </c>
      <c r="AA367" s="42">
        <f t="shared" si="28"/>
        <v>92.625</v>
      </c>
    </row>
    <row r="368" spans="1:27" ht="14.1" customHeight="1" x14ac:dyDescent="0.2">
      <c r="A368" s="37">
        <v>21</v>
      </c>
      <c r="B368" s="38">
        <v>87</v>
      </c>
      <c r="C368" s="39">
        <v>85</v>
      </c>
      <c r="D368" s="39">
        <v>84</v>
      </c>
      <c r="E368" s="39">
        <v>88</v>
      </c>
      <c r="F368" s="39">
        <v>97</v>
      </c>
      <c r="G368" s="39">
        <v>103</v>
      </c>
      <c r="H368" s="39">
        <v>106</v>
      </c>
      <c r="I368" s="39">
        <v>107</v>
      </c>
      <c r="J368" s="39">
        <v>106</v>
      </c>
      <c r="K368" s="39">
        <v>99</v>
      </c>
      <c r="L368" s="39">
        <v>94</v>
      </c>
      <c r="M368" s="39">
        <v>91</v>
      </c>
      <c r="N368" s="39">
        <v>89</v>
      </c>
      <c r="O368" s="39">
        <v>86</v>
      </c>
      <c r="P368" s="39">
        <v>84</v>
      </c>
      <c r="Q368" s="39">
        <v>86</v>
      </c>
      <c r="R368" s="39">
        <v>94</v>
      </c>
      <c r="S368" s="39">
        <v>102</v>
      </c>
      <c r="T368" s="39">
        <v>106</v>
      </c>
      <c r="U368" s="39">
        <v>107</v>
      </c>
      <c r="V368" s="39">
        <v>107</v>
      </c>
      <c r="W368" s="39">
        <v>105</v>
      </c>
      <c r="X368" s="39">
        <v>99</v>
      </c>
      <c r="Y368" s="40">
        <v>94</v>
      </c>
      <c r="Z368" s="41">
        <f t="shared" si="27"/>
        <v>2306</v>
      </c>
      <c r="AA368" s="42">
        <f t="shared" si="28"/>
        <v>96.083333333333329</v>
      </c>
    </row>
    <row r="369" spans="1:27" ht="14.1" customHeight="1" x14ac:dyDescent="0.2">
      <c r="A369" s="37">
        <v>22</v>
      </c>
      <c r="B369" s="38">
        <v>91</v>
      </c>
      <c r="C369" s="39">
        <v>90</v>
      </c>
      <c r="D369" s="39">
        <v>88</v>
      </c>
      <c r="E369" s="39">
        <v>91</v>
      </c>
      <c r="F369" s="39">
        <v>97</v>
      </c>
      <c r="G369" s="39">
        <v>104</v>
      </c>
      <c r="H369" s="39">
        <v>107</v>
      </c>
      <c r="I369" s="39">
        <v>108</v>
      </c>
      <c r="J369" s="39">
        <v>108</v>
      </c>
      <c r="K369" s="39">
        <v>105</v>
      </c>
      <c r="L369" s="39">
        <v>98</v>
      </c>
      <c r="M369" s="39">
        <v>95</v>
      </c>
      <c r="N369" s="39">
        <v>93</v>
      </c>
      <c r="O369" s="39">
        <v>91</v>
      </c>
      <c r="P369" s="39">
        <v>88</v>
      </c>
      <c r="Q369" s="39">
        <v>87</v>
      </c>
      <c r="R369" s="39">
        <v>91</v>
      </c>
      <c r="S369" s="39">
        <v>99</v>
      </c>
      <c r="T369" s="39">
        <v>106</v>
      </c>
      <c r="U369" s="39">
        <v>108</v>
      </c>
      <c r="V369" s="39">
        <v>109</v>
      </c>
      <c r="W369" s="39">
        <v>110</v>
      </c>
      <c r="X369" s="39">
        <v>110</v>
      </c>
      <c r="Y369" s="40">
        <v>106</v>
      </c>
      <c r="Z369" s="41">
        <f t="shared" si="27"/>
        <v>2380</v>
      </c>
      <c r="AA369" s="42">
        <f t="shared" si="28"/>
        <v>99.166666666666671</v>
      </c>
    </row>
    <row r="370" spans="1:27" ht="14.1" customHeight="1" x14ac:dyDescent="0.2">
      <c r="A370" s="37">
        <v>23</v>
      </c>
      <c r="B370" s="38">
        <v>102</v>
      </c>
      <c r="C370" s="39">
        <v>101</v>
      </c>
      <c r="D370" s="39">
        <v>100</v>
      </c>
      <c r="E370" s="39">
        <v>99</v>
      </c>
      <c r="F370" s="39">
        <v>102</v>
      </c>
      <c r="G370" s="39">
        <v>107</v>
      </c>
      <c r="H370" s="39">
        <v>111</v>
      </c>
      <c r="I370" s="39">
        <v>113</v>
      </c>
      <c r="J370" s="39">
        <v>114</v>
      </c>
      <c r="K370" s="39">
        <v>114</v>
      </c>
      <c r="L370" s="39">
        <v>109</v>
      </c>
      <c r="M370" s="39">
        <v>105</v>
      </c>
      <c r="N370" s="39">
        <v>103</v>
      </c>
      <c r="O370" s="39">
        <v>101</v>
      </c>
      <c r="P370" s="39">
        <v>100</v>
      </c>
      <c r="Q370" s="39">
        <v>98</v>
      </c>
      <c r="R370" s="39">
        <v>99</v>
      </c>
      <c r="S370" s="39">
        <v>104</v>
      </c>
      <c r="T370" s="39">
        <v>108</v>
      </c>
      <c r="U370" s="39">
        <v>112</v>
      </c>
      <c r="V370" s="39">
        <v>114</v>
      </c>
      <c r="W370" s="39">
        <v>115</v>
      </c>
      <c r="X370" s="39">
        <v>116</v>
      </c>
      <c r="Y370" s="40">
        <v>116</v>
      </c>
      <c r="Z370" s="41">
        <f t="shared" si="27"/>
        <v>2563</v>
      </c>
      <c r="AA370" s="42">
        <f t="shared" si="28"/>
        <v>106.79166666666667</v>
      </c>
    </row>
    <row r="371" spans="1:27" ht="14.1" customHeight="1" x14ac:dyDescent="0.2">
      <c r="A371" s="43">
        <v>24</v>
      </c>
      <c r="B371" s="38">
        <v>116</v>
      </c>
      <c r="C371" s="39">
        <v>112</v>
      </c>
      <c r="D371" s="39">
        <v>109</v>
      </c>
      <c r="E371" s="39">
        <v>108</v>
      </c>
      <c r="F371" s="39">
        <v>109</v>
      </c>
      <c r="G371" s="39">
        <v>111</v>
      </c>
      <c r="H371" s="39">
        <v>114</v>
      </c>
      <c r="I371" s="39">
        <v>116</v>
      </c>
      <c r="J371" s="39">
        <v>117</v>
      </c>
      <c r="K371" s="39">
        <v>118</v>
      </c>
      <c r="L371" s="39">
        <v>117</v>
      </c>
      <c r="M371" s="39">
        <v>115</v>
      </c>
      <c r="N371" s="39">
        <v>112</v>
      </c>
      <c r="O371" s="39">
        <v>110</v>
      </c>
      <c r="P371" s="39">
        <v>108</v>
      </c>
      <c r="Q371" s="39">
        <v>107</v>
      </c>
      <c r="R371" s="39">
        <v>106</v>
      </c>
      <c r="S371" s="39">
        <v>107</v>
      </c>
      <c r="T371" s="39">
        <v>111</v>
      </c>
      <c r="U371" s="39">
        <v>114</v>
      </c>
      <c r="V371" s="39">
        <v>117</v>
      </c>
      <c r="W371" s="39">
        <v>119</v>
      </c>
      <c r="X371" s="39">
        <v>121</v>
      </c>
      <c r="Y371" s="40">
        <v>122</v>
      </c>
      <c r="Z371" s="41">
        <f t="shared" si="27"/>
        <v>2716</v>
      </c>
      <c r="AA371" s="42">
        <f t="shared" si="28"/>
        <v>113.16666666666667</v>
      </c>
    </row>
    <row r="372" spans="1:27" ht="14.1" customHeight="1" x14ac:dyDescent="0.2">
      <c r="A372" s="37">
        <v>25</v>
      </c>
      <c r="B372" s="38">
        <v>123</v>
      </c>
      <c r="C372" s="39">
        <v>121</v>
      </c>
      <c r="D372" s="39">
        <v>118</v>
      </c>
      <c r="E372" s="39">
        <v>118</v>
      </c>
      <c r="F372" s="39">
        <v>117</v>
      </c>
      <c r="G372" s="39">
        <v>117</v>
      </c>
      <c r="H372" s="39">
        <v>118</v>
      </c>
      <c r="I372" s="39">
        <v>119</v>
      </c>
      <c r="J372" s="39">
        <v>120</v>
      </c>
      <c r="K372" s="39">
        <v>122</v>
      </c>
      <c r="L372" s="39">
        <v>122</v>
      </c>
      <c r="M372" s="39">
        <v>120</v>
      </c>
      <c r="N372" s="39">
        <v>118</v>
      </c>
      <c r="O372" s="39">
        <v>116</v>
      </c>
      <c r="P372" s="39">
        <v>114</v>
      </c>
      <c r="Q372" s="39">
        <v>112</v>
      </c>
      <c r="R372" s="39">
        <v>110</v>
      </c>
      <c r="S372" s="39">
        <v>110</v>
      </c>
      <c r="T372" s="39">
        <v>111</v>
      </c>
      <c r="U372" s="39">
        <v>112</v>
      </c>
      <c r="V372" s="39">
        <v>115</v>
      </c>
      <c r="W372" s="39">
        <v>118</v>
      </c>
      <c r="X372" s="39">
        <v>121</v>
      </c>
      <c r="Y372" s="40">
        <v>123</v>
      </c>
      <c r="Z372" s="41">
        <f t="shared" si="27"/>
        <v>2815</v>
      </c>
      <c r="AA372" s="42">
        <f t="shared" si="28"/>
        <v>117.29166666666667</v>
      </c>
    </row>
    <row r="373" spans="1:27" ht="14.1" customHeight="1" x14ac:dyDescent="0.2">
      <c r="A373" s="37">
        <v>26</v>
      </c>
      <c r="B373" s="38">
        <v>124</v>
      </c>
      <c r="C373" s="39">
        <v>123</v>
      </c>
      <c r="D373" s="39">
        <v>121</v>
      </c>
      <c r="E373" s="39">
        <v>119</v>
      </c>
      <c r="F373" s="39">
        <v>118</v>
      </c>
      <c r="G373" s="39">
        <v>118</v>
      </c>
      <c r="H373" s="39">
        <v>119</v>
      </c>
      <c r="I373" s="39">
        <v>120</v>
      </c>
      <c r="J373" s="39">
        <v>122</v>
      </c>
      <c r="K373" s="39">
        <v>123</v>
      </c>
      <c r="L373" s="39">
        <v>124</v>
      </c>
      <c r="M373" s="39">
        <v>122</v>
      </c>
      <c r="N373" s="39">
        <v>121</v>
      </c>
      <c r="O373" s="39">
        <v>119</v>
      </c>
      <c r="P373" s="39">
        <v>117</v>
      </c>
      <c r="Q373" s="39">
        <v>115</v>
      </c>
      <c r="R373" s="39">
        <v>114</v>
      </c>
      <c r="S373" s="39">
        <v>112</v>
      </c>
      <c r="T373" s="39">
        <v>112</v>
      </c>
      <c r="U373" s="39">
        <v>113</v>
      </c>
      <c r="V373" s="39">
        <v>115</v>
      </c>
      <c r="W373" s="39">
        <v>118</v>
      </c>
      <c r="X373" s="39">
        <v>121</v>
      </c>
      <c r="Y373" s="40">
        <v>123</v>
      </c>
      <c r="Z373" s="41">
        <f t="shared" si="27"/>
        <v>2853</v>
      </c>
      <c r="AA373" s="42">
        <f t="shared" si="28"/>
        <v>118.875</v>
      </c>
    </row>
    <row r="374" spans="1:27" ht="14.1" customHeight="1" x14ac:dyDescent="0.2">
      <c r="A374" s="37">
        <v>27</v>
      </c>
      <c r="B374" s="38">
        <v>125</v>
      </c>
      <c r="C374" s="39">
        <v>125</v>
      </c>
      <c r="D374" s="39">
        <v>124</v>
      </c>
      <c r="E374" s="39">
        <v>123</v>
      </c>
      <c r="F374" s="39">
        <v>122</v>
      </c>
      <c r="G374" s="39">
        <v>121</v>
      </c>
      <c r="H374" s="39">
        <v>121</v>
      </c>
      <c r="I374" s="39">
        <v>122</v>
      </c>
      <c r="J374" s="39">
        <v>123</v>
      </c>
      <c r="K374" s="39">
        <v>124</v>
      </c>
      <c r="L374" s="39">
        <v>125</v>
      </c>
      <c r="M374" s="39">
        <v>124</v>
      </c>
      <c r="N374" s="39">
        <v>123</v>
      </c>
      <c r="O374" s="39">
        <v>121</v>
      </c>
      <c r="P374" s="39">
        <v>120</v>
      </c>
      <c r="Q374" s="39">
        <v>118</v>
      </c>
      <c r="R374" s="39">
        <v>117</v>
      </c>
      <c r="S374" s="39">
        <v>115</v>
      </c>
      <c r="T374" s="39">
        <v>114</v>
      </c>
      <c r="U374" s="39">
        <v>114</v>
      </c>
      <c r="V374" s="39">
        <v>114</v>
      </c>
      <c r="W374" s="39">
        <v>115</v>
      </c>
      <c r="X374" s="39">
        <v>117</v>
      </c>
      <c r="Y374" s="40">
        <v>119</v>
      </c>
      <c r="Z374" s="41">
        <f t="shared" si="27"/>
        <v>2886</v>
      </c>
      <c r="AA374" s="42">
        <f t="shared" si="28"/>
        <v>120.25</v>
      </c>
    </row>
    <row r="375" spans="1:27" ht="14.1" customHeight="1" x14ac:dyDescent="0.2">
      <c r="A375" s="37">
        <v>28</v>
      </c>
      <c r="B375" s="38">
        <v>121</v>
      </c>
      <c r="C375" s="39">
        <v>122</v>
      </c>
      <c r="D375" s="39">
        <v>122</v>
      </c>
      <c r="E375" s="39">
        <v>121</v>
      </c>
      <c r="F375" s="39">
        <v>121</v>
      </c>
      <c r="G375" s="39">
        <v>120</v>
      </c>
      <c r="H375" s="39">
        <v>120</v>
      </c>
      <c r="I375" s="39">
        <v>120</v>
      </c>
      <c r="J375" s="39">
        <v>120</v>
      </c>
      <c r="K375" s="39">
        <v>120</v>
      </c>
      <c r="L375" s="39">
        <v>121</v>
      </c>
      <c r="M375" s="39">
        <v>121</v>
      </c>
      <c r="N375" s="39">
        <v>120</v>
      </c>
      <c r="O375" s="39">
        <v>119</v>
      </c>
      <c r="P375" s="39">
        <v>118</v>
      </c>
      <c r="Q375" s="39">
        <v>117</v>
      </c>
      <c r="R375" s="39">
        <v>116</v>
      </c>
      <c r="S375" s="39">
        <v>114</v>
      </c>
      <c r="T375" s="39">
        <v>113</v>
      </c>
      <c r="U375" s="39">
        <v>112</v>
      </c>
      <c r="V375" s="39">
        <v>112</v>
      </c>
      <c r="W375" s="39">
        <v>114</v>
      </c>
      <c r="X375" s="39">
        <v>115</v>
      </c>
      <c r="Y375" s="40">
        <v>117</v>
      </c>
      <c r="Z375" s="41">
        <f t="shared" si="27"/>
        <v>2836</v>
      </c>
      <c r="AA375" s="42">
        <f t="shared" si="28"/>
        <v>118.16666666666667</v>
      </c>
    </row>
    <row r="376" spans="1:27" ht="14.1" customHeight="1" x14ac:dyDescent="0.2">
      <c r="A376" s="37">
        <v>29</v>
      </c>
      <c r="B376" s="38">
        <v>118</v>
      </c>
      <c r="C376" s="39">
        <v>120</v>
      </c>
      <c r="D376" s="39">
        <v>121</v>
      </c>
      <c r="E376" s="39">
        <v>121</v>
      </c>
      <c r="F376" s="39">
        <v>121</v>
      </c>
      <c r="G376" s="39">
        <v>120</v>
      </c>
      <c r="H376" s="39">
        <v>120</v>
      </c>
      <c r="I376" s="39">
        <v>120</v>
      </c>
      <c r="J376" s="39">
        <v>120</v>
      </c>
      <c r="K376" s="39">
        <v>120</v>
      </c>
      <c r="L376" s="39">
        <v>120</v>
      </c>
      <c r="M376" s="39">
        <v>120</v>
      </c>
      <c r="N376" s="39">
        <v>120</v>
      </c>
      <c r="O376" s="39">
        <v>119</v>
      </c>
      <c r="P376" s="39">
        <v>118</v>
      </c>
      <c r="Q376" s="39">
        <v>116</v>
      </c>
      <c r="R376" s="39">
        <v>115</v>
      </c>
      <c r="S376" s="39">
        <v>114</v>
      </c>
      <c r="T376" s="39">
        <v>113</v>
      </c>
      <c r="U376" s="39">
        <v>110</v>
      </c>
      <c r="V376" s="39">
        <v>108</v>
      </c>
      <c r="W376" s="39">
        <v>108</v>
      </c>
      <c r="X376" s="39">
        <v>109</v>
      </c>
      <c r="Y376" s="40">
        <v>111</v>
      </c>
      <c r="Z376" s="41">
        <f t="shared" si="27"/>
        <v>2802</v>
      </c>
      <c r="AA376" s="42">
        <f t="shared" si="28"/>
        <v>116.75</v>
      </c>
    </row>
    <row r="377" spans="1:27" ht="14.1" customHeight="1" x14ac:dyDescent="0.2">
      <c r="A377" s="37">
        <v>30</v>
      </c>
      <c r="B377" s="38">
        <v>113</v>
      </c>
      <c r="C377" s="39">
        <v>115</v>
      </c>
      <c r="D377" s="39">
        <v>116</v>
      </c>
      <c r="E377" s="39">
        <v>118</v>
      </c>
      <c r="F377" s="39">
        <v>118</v>
      </c>
      <c r="G377" s="39">
        <v>119</v>
      </c>
      <c r="H377" s="39">
        <v>119</v>
      </c>
      <c r="I377" s="39">
        <v>118</v>
      </c>
      <c r="J377" s="39">
        <v>117</v>
      </c>
      <c r="K377" s="39">
        <v>117</v>
      </c>
      <c r="L377" s="39">
        <v>116</v>
      </c>
      <c r="M377" s="39">
        <v>116</v>
      </c>
      <c r="N377" s="39">
        <v>115</v>
      </c>
      <c r="O377" s="39">
        <v>115</v>
      </c>
      <c r="P377" s="39">
        <v>114</v>
      </c>
      <c r="Q377" s="39">
        <v>112</v>
      </c>
      <c r="R377" s="39">
        <v>111</v>
      </c>
      <c r="S377" s="39">
        <v>110</v>
      </c>
      <c r="T377" s="39">
        <v>108</v>
      </c>
      <c r="U377" s="39">
        <v>107</v>
      </c>
      <c r="V377" s="39">
        <v>105</v>
      </c>
      <c r="W377" s="39">
        <v>104</v>
      </c>
      <c r="X377" s="39">
        <v>104</v>
      </c>
      <c r="Y377" s="40">
        <v>105</v>
      </c>
      <c r="Z377" s="41">
        <f t="shared" si="27"/>
        <v>2712</v>
      </c>
      <c r="AA377" s="42">
        <f t="shared" si="28"/>
        <v>113</v>
      </c>
    </row>
    <row r="378" spans="1:27" ht="14.1" customHeight="1" x14ac:dyDescent="0.2">
      <c r="A378" s="37">
        <v>31</v>
      </c>
      <c r="B378" s="44">
        <v>106</v>
      </c>
      <c r="C378" s="45">
        <v>109</v>
      </c>
      <c r="D378" s="45">
        <v>111</v>
      </c>
      <c r="E378" s="45">
        <v>113</v>
      </c>
      <c r="F378" s="45">
        <v>115</v>
      </c>
      <c r="G378" s="45">
        <v>116</v>
      </c>
      <c r="H378" s="45">
        <v>115</v>
      </c>
      <c r="I378" s="45">
        <v>114</v>
      </c>
      <c r="J378" s="45">
        <v>113</v>
      </c>
      <c r="K378" s="45">
        <v>112</v>
      </c>
      <c r="L378" s="45">
        <v>110</v>
      </c>
      <c r="M378" s="45">
        <v>110</v>
      </c>
      <c r="N378" s="45">
        <v>109</v>
      </c>
      <c r="O378" s="45">
        <v>109</v>
      </c>
      <c r="P378" s="45">
        <v>109</v>
      </c>
      <c r="Q378" s="45">
        <v>108</v>
      </c>
      <c r="R378" s="45">
        <v>107</v>
      </c>
      <c r="S378" s="45">
        <v>105</v>
      </c>
      <c r="T378" s="45">
        <v>104</v>
      </c>
      <c r="U378" s="45">
        <v>102</v>
      </c>
      <c r="V378" s="45">
        <v>100</v>
      </c>
      <c r="W378" s="45">
        <v>99</v>
      </c>
      <c r="X378" s="45">
        <v>98</v>
      </c>
      <c r="Y378" s="46">
        <v>99</v>
      </c>
      <c r="Z378" s="47">
        <f t="shared" si="27"/>
        <v>2593</v>
      </c>
      <c r="AA378" s="48">
        <f t="shared" si="28"/>
        <v>108.04166666666667</v>
      </c>
    </row>
    <row r="379" spans="1:27" ht="14.1" customHeight="1" x14ac:dyDescent="0.2">
      <c r="A379" s="27" t="s">
        <v>7</v>
      </c>
      <c r="B379" s="49">
        <f t="shared" ref="B379:Y379" si="29">SUM(B348:B378)</f>
        <v>2639</v>
      </c>
      <c r="C379" s="49">
        <f t="shared" si="29"/>
        <v>2657</v>
      </c>
      <c r="D379" s="49">
        <f t="shared" si="29"/>
        <v>2698</v>
      </c>
      <c r="E379" s="49">
        <f t="shared" si="29"/>
        <v>2786</v>
      </c>
      <c r="F379" s="49">
        <f t="shared" si="29"/>
        <v>2898</v>
      </c>
      <c r="G379" s="49">
        <f t="shared" si="29"/>
        <v>3012</v>
      </c>
      <c r="H379" s="49">
        <f t="shared" si="29"/>
        <v>3093</v>
      </c>
      <c r="I379" s="49">
        <f t="shared" si="29"/>
        <v>3115</v>
      </c>
      <c r="J379" s="49">
        <f t="shared" si="29"/>
        <v>3061</v>
      </c>
      <c r="K379" s="49">
        <f t="shared" si="29"/>
        <v>2967</v>
      </c>
      <c r="L379" s="49">
        <f t="shared" si="29"/>
        <v>2858</v>
      </c>
      <c r="M379" s="49">
        <f t="shared" si="29"/>
        <v>2757</v>
      </c>
      <c r="N379" s="49">
        <f t="shared" si="29"/>
        <v>2684</v>
      </c>
      <c r="O379" s="49">
        <f t="shared" si="29"/>
        <v>2630</v>
      </c>
      <c r="P379" s="49">
        <f t="shared" si="29"/>
        <v>2605</v>
      </c>
      <c r="Q379" s="50">
        <f t="shared" si="29"/>
        <v>2622</v>
      </c>
      <c r="R379" s="49">
        <f t="shared" si="29"/>
        <v>2663</v>
      </c>
      <c r="S379" s="49">
        <f t="shared" si="29"/>
        <v>2713</v>
      </c>
      <c r="T379" s="49">
        <f t="shared" si="29"/>
        <v>2752</v>
      </c>
      <c r="U379" s="49">
        <f t="shared" si="29"/>
        <v>2755</v>
      </c>
      <c r="V379" s="49">
        <f t="shared" si="29"/>
        <v>2735</v>
      </c>
      <c r="W379" s="49">
        <f t="shared" si="29"/>
        <v>2726</v>
      </c>
      <c r="X379" s="49">
        <f t="shared" si="29"/>
        <v>2703</v>
      </c>
      <c r="Y379" s="49">
        <f t="shared" si="29"/>
        <v>2676</v>
      </c>
      <c r="Z379" s="51">
        <f>SUM(B348:Y378)</f>
        <v>66805</v>
      </c>
      <c r="AA379" s="52">
        <f>AVERAGE(B348:Y378)</f>
        <v>89.791666666666671</v>
      </c>
    </row>
    <row r="380" spans="1:27" ht="14.1" customHeight="1" x14ac:dyDescent="0.25">
      <c r="A380" s="53" t="s">
        <v>10</v>
      </c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 spans="1:27" ht="14.1" customHeight="1" x14ac:dyDescent="0.25">
      <c r="A381" s="55" t="str">
        <f>A343</f>
        <v>Trạm: Gò Dầu Hạ</v>
      </c>
      <c r="B381" s="2"/>
      <c r="C381" s="3"/>
      <c r="D381" s="4"/>
      <c r="E381" s="5"/>
      <c r="F381" s="5"/>
      <c r="G381" s="5"/>
      <c r="H381" s="5"/>
      <c r="I381" s="6"/>
      <c r="J381" s="4"/>
      <c r="K381" s="5"/>
      <c r="L381" s="5"/>
      <c r="M381" s="5"/>
      <c r="N381" s="5"/>
      <c r="O381" s="4"/>
      <c r="P381" s="6"/>
      <c r="Q381" s="4"/>
      <c r="R381" s="5"/>
      <c r="S381" s="5"/>
      <c r="T381" s="5"/>
      <c r="U381" s="5"/>
      <c r="V381" s="6"/>
      <c r="W381" s="4"/>
      <c r="X381" s="7"/>
      <c r="Y381" s="5"/>
      <c r="Z381" s="5"/>
      <c r="AA381" s="5"/>
    </row>
    <row r="382" spans="1:27" ht="14.1" customHeight="1" x14ac:dyDescent="0.25">
      <c r="A382" s="55" t="str">
        <f>A344</f>
        <v>Sông: Vàm Cỏ Đông</v>
      </c>
      <c r="B382" s="2"/>
      <c r="C382" s="2"/>
      <c r="D382" s="9"/>
      <c r="E382" s="10"/>
      <c r="F382" s="10"/>
      <c r="G382" s="10"/>
      <c r="H382" s="10"/>
      <c r="I382" s="11"/>
      <c r="J382" s="11"/>
      <c r="K382" s="5"/>
      <c r="L382" s="5"/>
      <c r="M382" s="12" t="s">
        <v>2</v>
      </c>
      <c r="N382" s="13"/>
      <c r="O382" s="13"/>
      <c r="P382" s="13"/>
      <c r="Q382" s="14"/>
      <c r="R382" s="14"/>
      <c r="S382" s="10"/>
      <c r="T382" s="10"/>
      <c r="U382" s="10"/>
      <c r="V382" s="11"/>
      <c r="W382" s="11"/>
      <c r="X382" s="7"/>
      <c r="Y382" s="5"/>
      <c r="Z382" s="5"/>
      <c r="AA382" s="5"/>
    </row>
    <row r="383" spans="1:27" ht="14.1" customHeight="1" x14ac:dyDescent="0.25">
      <c r="A383" s="56" t="s">
        <v>3</v>
      </c>
      <c r="B383" s="16">
        <f>B345+1</f>
        <v>11</v>
      </c>
      <c r="C383" s="16"/>
      <c r="D383" s="17"/>
      <c r="E383" s="9"/>
      <c r="F383" s="18"/>
      <c r="G383" s="10"/>
      <c r="H383" s="10"/>
      <c r="I383" s="10"/>
      <c r="J383" s="4"/>
      <c r="K383" s="5"/>
      <c r="L383" s="5"/>
      <c r="M383" s="19"/>
      <c r="N383" s="20" t="s">
        <v>4</v>
      </c>
      <c r="O383" s="22">
        <f>O345</f>
        <v>2025</v>
      </c>
      <c r="P383" s="22"/>
      <c r="Q383" s="13"/>
      <c r="R383" s="14"/>
      <c r="S383" s="18"/>
      <c r="T383" s="10"/>
      <c r="U383" s="10"/>
      <c r="V383" s="10"/>
      <c r="W383" s="4"/>
      <c r="X383" s="23" t="s">
        <v>5</v>
      </c>
      <c r="Y383" s="5"/>
      <c r="Z383" s="5"/>
      <c r="AA383" s="5"/>
    </row>
    <row r="384" spans="1:27" ht="14.1" customHeight="1" x14ac:dyDescent="0.2">
      <c r="A384" s="24" t="s">
        <v>6</v>
      </c>
      <c r="B384" s="25">
        <v>0</v>
      </c>
      <c r="C384" s="26">
        <v>1</v>
      </c>
      <c r="D384" s="25">
        <v>2</v>
      </c>
      <c r="E384" s="25">
        <v>3</v>
      </c>
      <c r="F384" s="26">
        <v>4</v>
      </c>
      <c r="G384" s="25">
        <v>5</v>
      </c>
      <c r="H384" s="25">
        <v>6</v>
      </c>
      <c r="I384" s="26">
        <v>7</v>
      </c>
      <c r="J384" s="25">
        <v>8</v>
      </c>
      <c r="K384" s="25">
        <v>9</v>
      </c>
      <c r="L384" s="25">
        <v>10</v>
      </c>
      <c r="M384" s="25">
        <v>11</v>
      </c>
      <c r="N384" s="25">
        <v>12</v>
      </c>
      <c r="O384" s="25">
        <v>13</v>
      </c>
      <c r="P384" s="26">
        <v>14</v>
      </c>
      <c r="Q384" s="25">
        <v>15</v>
      </c>
      <c r="R384" s="26">
        <v>16</v>
      </c>
      <c r="S384" s="25">
        <v>17</v>
      </c>
      <c r="T384" s="26">
        <v>18</v>
      </c>
      <c r="U384" s="25">
        <v>19</v>
      </c>
      <c r="V384" s="26">
        <v>20</v>
      </c>
      <c r="W384" s="25">
        <v>21</v>
      </c>
      <c r="X384" s="26">
        <v>22</v>
      </c>
      <c r="Y384" s="25">
        <v>23</v>
      </c>
      <c r="Z384" s="27" t="s">
        <v>7</v>
      </c>
      <c r="AA384" s="27" t="s">
        <v>8</v>
      </c>
    </row>
    <row r="385" spans="1:27" ht="14.1" customHeight="1" x14ac:dyDescent="0.2">
      <c r="A385" s="28" t="s">
        <v>9</v>
      </c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30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 spans="1:27" ht="14.1" customHeight="1" x14ac:dyDescent="0.2">
      <c r="A386" s="31">
        <v>1</v>
      </c>
      <c r="B386" s="32">
        <v>101</v>
      </c>
      <c r="C386" s="33">
        <v>104</v>
      </c>
      <c r="D386" s="33">
        <v>107</v>
      </c>
      <c r="E386" s="33">
        <v>110</v>
      </c>
      <c r="F386" s="33">
        <v>112</v>
      </c>
      <c r="G386" s="33">
        <v>113</v>
      </c>
      <c r="H386" s="33">
        <v>113</v>
      </c>
      <c r="I386" s="33">
        <v>111</v>
      </c>
      <c r="J386" s="33">
        <v>108</v>
      </c>
      <c r="K386" s="33">
        <v>106</v>
      </c>
      <c r="L386" s="33">
        <v>105</v>
      </c>
      <c r="M386" s="33">
        <v>104</v>
      </c>
      <c r="N386" s="33">
        <v>103</v>
      </c>
      <c r="O386" s="33">
        <v>103</v>
      </c>
      <c r="P386" s="33">
        <v>104</v>
      </c>
      <c r="Q386" s="33">
        <v>104</v>
      </c>
      <c r="R386" s="33">
        <v>103</v>
      </c>
      <c r="S386" s="33">
        <v>105</v>
      </c>
      <c r="T386" s="33">
        <v>104</v>
      </c>
      <c r="U386" s="33">
        <v>102</v>
      </c>
      <c r="V386" s="33">
        <v>101</v>
      </c>
      <c r="W386" s="33">
        <v>99</v>
      </c>
      <c r="X386" s="33">
        <v>98</v>
      </c>
      <c r="Y386" s="34">
        <v>97</v>
      </c>
      <c r="Z386" s="35">
        <f t="shared" ref="Z386:Z416" si="30">SUM(B386:Y386)</f>
        <v>2517</v>
      </c>
      <c r="AA386" s="36">
        <f t="shared" ref="AA386:AA416" si="31">AVERAGE(B386:Y386)</f>
        <v>104.875</v>
      </c>
    </row>
    <row r="387" spans="1:27" ht="14.1" customHeight="1" x14ac:dyDescent="0.2">
      <c r="A387" s="37">
        <v>2</v>
      </c>
      <c r="B387" s="38">
        <v>98</v>
      </c>
      <c r="C387" s="39">
        <v>100</v>
      </c>
      <c r="D387" s="39">
        <v>104</v>
      </c>
      <c r="E387" s="39">
        <v>108</v>
      </c>
      <c r="F387" s="39">
        <v>111</v>
      </c>
      <c r="G387" s="39">
        <v>112</v>
      </c>
      <c r="H387" s="39">
        <v>114</v>
      </c>
      <c r="I387" s="39">
        <v>112</v>
      </c>
      <c r="J387" s="39">
        <v>108</v>
      </c>
      <c r="K387" s="39">
        <v>106</v>
      </c>
      <c r="L387" s="39">
        <v>104</v>
      </c>
      <c r="M387" s="39">
        <v>102</v>
      </c>
      <c r="N387" s="39">
        <v>102</v>
      </c>
      <c r="O387" s="39">
        <v>101</v>
      </c>
      <c r="P387" s="39">
        <v>102</v>
      </c>
      <c r="Q387" s="39">
        <v>103</v>
      </c>
      <c r="R387" s="39">
        <v>105</v>
      </c>
      <c r="S387" s="39">
        <v>105</v>
      </c>
      <c r="T387" s="39">
        <v>104</v>
      </c>
      <c r="U387" s="39">
        <v>102</v>
      </c>
      <c r="V387" s="39">
        <v>100</v>
      </c>
      <c r="W387" s="39">
        <v>98</v>
      </c>
      <c r="X387" s="39">
        <v>96</v>
      </c>
      <c r="Y387" s="40">
        <v>95</v>
      </c>
      <c r="Z387" s="41">
        <f t="shared" si="30"/>
        <v>2492</v>
      </c>
      <c r="AA387" s="42">
        <f t="shared" si="31"/>
        <v>103.83333333333333</v>
      </c>
    </row>
    <row r="388" spans="1:27" ht="14.1" customHeight="1" x14ac:dyDescent="0.2">
      <c r="A388" s="37">
        <v>3</v>
      </c>
      <c r="B388" s="38">
        <v>95</v>
      </c>
      <c r="C388" s="39">
        <v>97</v>
      </c>
      <c r="D388" s="39">
        <v>100</v>
      </c>
      <c r="E388" s="39">
        <v>104</v>
      </c>
      <c r="F388" s="39">
        <v>108</v>
      </c>
      <c r="G388" s="39">
        <v>110</v>
      </c>
      <c r="H388" s="39">
        <v>112</v>
      </c>
      <c r="I388" s="39">
        <v>112</v>
      </c>
      <c r="J388" s="39">
        <v>109</v>
      </c>
      <c r="K388" s="39">
        <v>106</v>
      </c>
      <c r="L388" s="39">
        <v>105</v>
      </c>
      <c r="M388" s="39">
        <v>104</v>
      </c>
      <c r="N388" s="39">
        <v>102</v>
      </c>
      <c r="O388" s="39">
        <v>102</v>
      </c>
      <c r="P388" s="39">
        <v>103</v>
      </c>
      <c r="Q388" s="39">
        <v>105</v>
      </c>
      <c r="R388" s="39">
        <v>108</v>
      </c>
      <c r="S388" s="39">
        <v>111</v>
      </c>
      <c r="T388" s="39">
        <v>112</v>
      </c>
      <c r="U388" s="39">
        <v>110</v>
      </c>
      <c r="V388" s="39">
        <v>106</v>
      </c>
      <c r="W388" s="39">
        <v>104</v>
      </c>
      <c r="X388" s="39">
        <v>102</v>
      </c>
      <c r="Y388" s="40">
        <v>101</v>
      </c>
      <c r="Z388" s="41">
        <f t="shared" si="30"/>
        <v>2528</v>
      </c>
      <c r="AA388" s="42">
        <f t="shared" si="31"/>
        <v>105.33333333333333</v>
      </c>
    </row>
    <row r="389" spans="1:27" ht="14.1" customHeight="1" x14ac:dyDescent="0.2">
      <c r="A389" s="37">
        <v>4</v>
      </c>
      <c r="B389" s="38">
        <v>100</v>
      </c>
      <c r="C389" s="39">
        <v>100</v>
      </c>
      <c r="D389" s="39">
        <v>102</v>
      </c>
      <c r="E389" s="39">
        <v>106</v>
      </c>
      <c r="F389" s="39">
        <v>109</v>
      </c>
      <c r="G389" s="39">
        <v>112</v>
      </c>
      <c r="H389" s="39">
        <v>115</v>
      </c>
      <c r="I389" s="39">
        <v>116</v>
      </c>
      <c r="J389" s="39">
        <v>114</v>
      </c>
      <c r="K389" s="39">
        <v>110</v>
      </c>
      <c r="L389" s="39">
        <v>108</v>
      </c>
      <c r="M389" s="39">
        <v>106</v>
      </c>
      <c r="N389" s="39">
        <v>104</v>
      </c>
      <c r="O389" s="39">
        <v>103</v>
      </c>
      <c r="P389" s="39">
        <v>102</v>
      </c>
      <c r="Q389" s="39">
        <v>104</v>
      </c>
      <c r="R389" s="39">
        <v>108</v>
      </c>
      <c r="S389" s="39">
        <v>111</v>
      </c>
      <c r="T389" s="39">
        <v>114</v>
      </c>
      <c r="U389" s="39">
        <v>117</v>
      </c>
      <c r="V389" s="39">
        <v>117</v>
      </c>
      <c r="W389" s="39">
        <v>114</v>
      </c>
      <c r="X389" s="39">
        <v>111</v>
      </c>
      <c r="Y389" s="40">
        <v>109</v>
      </c>
      <c r="Z389" s="41">
        <f t="shared" si="30"/>
        <v>2612</v>
      </c>
      <c r="AA389" s="42">
        <f t="shared" si="31"/>
        <v>108.83333333333333</v>
      </c>
    </row>
    <row r="390" spans="1:27" ht="14.1" customHeight="1" x14ac:dyDescent="0.2">
      <c r="A390" s="37">
        <v>5</v>
      </c>
      <c r="B390" s="38">
        <v>107</v>
      </c>
      <c r="C390" s="39">
        <v>106</v>
      </c>
      <c r="D390" s="39">
        <v>107</v>
      </c>
      <c r="E390" s="39">
        <v>109</v>
      </c>
      <c r="F390" s="39">
        <v>112</v>
      </c>
      <c r="G390" s="39">
        <v>116</v>
      </c>
      <c r="H390" s="39">
        <v>119</v>
      </c>
      <c r="I390" s="39">
        <v>121</v>
      </c>
      <c r="J390" s="39">
        <v>121</v>
      </c>
      <c r="K390" s="39">
        <v>118</v>
      </c>
      <c r="L390" s="39">
        <v>115</v>
      </c>
      <c r="M390" s="39">
        <v>114</v>
      </c>
      <c r="N390" s="39">
        <v>112</v>
      </c>
      <c r="O390" s="39">
        <v>110</v>
      </c>
      <c r="P390" s="39">
        <v>109</v>
      </c>
      <c r="Q390" s="39">
        <v>109</v>
      </c>
      <c r="R390" s="39">
        <v>111</v>
      </c>
      <c r="S390" s="39">
        <v>114</v>
      </c>
      <c r="T390" s="39">
        <v>118</v>
      </c>
      <c r="U390" s="39">
        <v>121</v>
      </c>
      <c r="V390" s="39">
        <v>124</v>
      </c>
      <c r="W390" s="39">
        <v>125</v>
      </c>
      <c r="X390" s="39">
        <v>124</v>
      </c>
      <c r="Y390" s="40">
        <v>121</v>
      </c>
      <c r="Z390" s="41">
        <f t="shared" si="30"/>
        <v>2763</v>
      </c>
      <c r="AA390" s="42">
        <f t="shared" si="31"/>
        <v>115.125</v>
      </c>
    </row>
    <row r="391" spans="1:27" ht="14.1" customHeight="1" x14ac:dyDescent="0.2">
      <c r="A391" s="37">
        <v>6</v>
      </c>
      <c r="B391" s="38">
        <v>118</v>
      </c>
      <c r="C391" s="39">
        <v>117</v>
      </c>
      <c r="D391" s="39">
        <v>115</v>
      </c>
      <c r="E391" s="39">
        <v>116</v>
      </c>
      <c r="F391" s="39">
        <v>118</v>
      </c>
      <c r="G391" s="39">
        <v>121</v>
      </c>
      <c r="H391" s="39">
        <v>124</v>
      </c>
      <c r="I391" s="39">
        <v>127</v>
      </c>
      <c r="J391" s="39">
        <v>130</v>
      </c>
      <c r="K391" s="39">
        <v>129</v>
      </c>
      <c r="L391" s="39">
        <v>127</v>
      </c>
      <c r="M391" s="39">
        <v>124</v>
      </c>
      <c r="N391" s="39">
        <v>122</v>
      </c>
      <c r="O391" s="39">
        <v>121</v>
      </c>
      <c r="P391" s="39">
        <v>119</v>
      </c>
      <c r="Q391" s="39">
        <v>117</v>
      </c>
      <c r="R391" s="39">
        <v>117</v>
      </c>
      <c r="S391" s="39">
        <v>119</v>
      </c>
      <c r="T391" s="39">
        <v>121</v>
      </c>
      <c r="U391" s="39">
        <v>125</v>
      </c>
      <c r="V391" s="39">
        <v>129</v>
      </c>
      <c r="W391" s="39">
        <v>131</v>
      </c>
      <c r="X391" s="39">
        <v>133</v>
      </c>
      <c r="Y391" s="40">
        <v>131</v>
      </c>
      <c r="Z391" s="41">
        <f t="shared" si="30"/>
        <v>2951</v>
      </c>
      <c r="AA391" s="42">
        <f t="shared" si="31"/>
        <v>122.95833333333333</v>
      </c>
    </row>
    <row r="392" spans="1:27" ht="14.1" customHeight="1" x14ac:dyDescent="0.2">
      <c r="A392" s="37">
        <v>7</v>
      </c>
      <c r="B392" s="38">
        <v>129</v>
      </c>
      <c r="C392" s="39">
        <v>127</v>
      </c>
      <c r="D392" s="39">
        <v>126</v>
      </c>
      <c r="E392" s="39">
        <v>124</v>
      </c>
      <c r="F392" s="39">
        <v>124</v>
      </c>
      <c r="G392" s="39">
        <v>126</v>
      </c>
      <c r="H392" s="39">
        <v>128</v>
      </c>
      <c r="I392" s="39">
        <v>131</v>
      </c>
      <c r="J392" s="39">
        <v>132</v>
      </c>
      <c r="K392" s="39">
        <v>134</v>
      </c>
      <c r="L392" s="39">
        <v>132</v>
      </c>
      <c r="M392" s="39">
        <v>129</v>
      </c>
      <c r="N392" s="39">
        <v>127</v>
      </c>
      <c r="O392" s="39">
        <v>126</v>
      </c>
      <c r="P392" s="39">
        <v>124</v>
      </c>
      <c r="Q392" s="39">
        <v>122</v>
      </c>
      <c r="R392" s="39">
        <v>121</v>
      </c>
      <c r="S392" s="39">
        <v>121</v>
      </c>
      <c r="T392" s="39">
        <v>123</v>
      </c>
      <c r="U392" s="39">
        <v>125</v>
      </c>
      <c r="V392" s="39">
        <v>130</v>
      </c>
      <c r="W392" s="39">
        <v>133</v>
      </c>
      <c r="X392" s="39">
        <v>135</v>
      </c>
      <c r="Y392" s="40">
        <v>136</v>
      </c>
      <c r="Z392" s="41">
        <f t="shared" si="30"/>
        <v>3065</v>
      </c>
      <c r="AA392" s="42">
        <f t="shared" si="31"/>
        <v>127.70833333333333</v>
      </c>
    </row>
    <row r="393" spans="1:27" ht="14.1" customHeight="1" x14ac:dyDescent="0.2">
      <c r="A393" s="37">
        <v>8</v>
      </c>
      <c r="B393" s="38">
        <v>135</v>
      </c>
      <c r="C393" s="39">
        <v>133</v>
      </c>
      <c r="D393" s="39">
        <v>131</v>
      </c>
      <c r="E393" s="39">
        <v>130</v>
      </c>
      <c r="F393" s="39">
        <v>129</v>
      </c>
      <c r="G393" s="39">
        <v>129</v>
      </c>
      <c r="H393" s="39">
        <v>130</v>
      </c>
      <c r="I393" s="39">
        <v>133</v>
      </c>
      <c r="J393" s="39">
        <v>136</v>
      </c>
      <c r="K393" s="39">
        <v>138</v>
      </c>
      <c r="L393" s="39">
        <v>137</v>
      </c>
      <c r="M393" s="39">
        <v>135</v>
      </c>
      <c r="N393" s="39">
        <v>130</v>
      </c>
      <c r="O393" s="39">
        <v>128</v>
      </c>
      <c r="P393" s="39">
        <v>126</v>
      </c>
      <c r="Q393" s="39">
        <v>125</v>
      </c>
      <c r="R393" s="39">
        <v>123</v>
      </c>
      <c r="S393" s="39">
        <v>122</v>
      </c>
      <c r="T393" s="39">
        <v>121</v>
      </c>
      <c r="U393" s="39">
        <v>124</v>
      </c>
      <c r="V393" s="39">
        <v>126</v>
      </c>
      <c r="W393" s="39">
        <v>129</v>
      </c>
      <c r="X393" s="39">
        <v>132</v>
      </c>
      <c r="Y393" s="40">
        <v>134</v>
      </c>
      <c r="Z393" s="41">
        <f t="shared" si="30"/>
        <v>3116</v>
      </c>
      <c r="AA393" s="42">
        <f t="shared" si="31"/>
        <v>129.83333333333334</v>
      </c>
    </row>
    <row r="394" spans="1:27" ht="14.1" customHeight="1" x14ac:dyDescent="0.2">
      <c r="A394" s="37">
        <v>9</v>
      </c>
      <c r="B394" s="38">
        <v>135</v>
      </c>
      <c r="C394" s="39">
        <v>134</v>
      </c>
      <c r="D394" s="39">
        <v>133</v>
      </c>
      <c r="E394" s="39">
        <v>131</v>
      </c>
      <c r="F394" s="39">
        <v>130</v>
      </c>
      <c r="G394" s="39">
        <v>130</v>
      </c>
      <c r="H394" s="39">
        <v>130</v>
      </c>
      <c r="I394" s="39">
        <v>131</v>
      </c>
      <c r="J394" s="39">
        <v>132</v>
      </c>
      <c r="K394" s="39">
        <v>134</v>
      </c>
      <c r="L394" s="39">
        <v>135</v>
      </c>
      <c r="M394" s="39">
        <v>133</v>
      </c>
      <c r="N394" s="39">
        <v>131</v>
      </c>
      <c r="O394" s="39">
        <v>129</v>
      </c>
      <c r="P394" s="39">
        <v>128</v>
      </c>
      <c r="Q394" s="39">
        <v>126</v>
      </c>
      <c r="R394" s="39">
        <v>124</v>
      </c>
      <c r="S394" s="39">
        <v>122</v>
      </c>
      <c r="T394" s="39">
        <v>122</v>
      </c>
      <c r="U394" s="39">
        <v>120</v>
      </c>
      <c r="V394" s="39">
        <v>120</v>
      </c>
      <c r="W394" s="39">
        <v>122</v>
      </c>
      <c r="X394" s="39">
        <v>125</v>
      </c>
      <c r="Y394" s="40">
        <v>128</v>
      </c>
      <c r="Z394" s="41">
        <f t="shared" si="30"/>
        <v>3085</v>
      </c>
      <c r="AA394" s="42">
        <f t="shared" si="31"/>
        <v>128.54166666666666</v>
      </c>
    </row>
    <row r="395" spans="1:27" ht="14.1" customHeight="1" x14ac:dyDescent="0.2">
      <c r="A395" s="37">
        <v>10</v>
      </c>
      <c r="B395" s="38">
        <v>130</v>
      </c>
      <c r="C395" s="39">
        <v>131</v>
      </c>
      <c r="D395" s="39">
        <v>131</v>
      </c>
      <c r="E395" s="39">
        <v>129</v>
      </c>
      <c r="F395" s="39">
        <v>128</v>
      </c>
      <c r="G395" s="39">
        <v>128</v>
      </c>
      <c r="H395" s="39">
        <v>127</v>
      </c>
      <c r="I395" s="39">
        <v>128</v>
      </c>
      <c r="J395" s="39">
        <v>129</v>
      </c>
      <c r="K395" s="39">
        <v>131</v>
      </c>
      <c r="L395" s="39">
        <v>132</v>
      </c>
      <c r="M395" s="39">
        <v>133</v>
      </c>
      <c r="N395" s="39">
        <v>132</v>
      </c>
      <c r="O395" s="39">
        <v>131</v>
      </c>
      <c r="P395" s="39">
        <v>129</v>
      </c>
      <c r="Q395" s="39">
        <v>127</v>
      </c>
      <c r="R395" s="39">
        <v>126</v>
      </c>
      <c r="S395" s="39">
        <v>124</v>
      </c>
      <c r="T395" s="39">
        <v>122</v>
      </c>
      <c r="U395" s="39">
        <v>121</v>
      </c>
      <c r="V395" s="39">
        <v>121</v>
      </c>
      <c r="W395" s="39">
        <v>122</v>
      </c>
      <c r="X395" s="39">
        <v>123</v>
      </c>
      <c r="Y395" s="40">
        <v>126</v>
      </c>
      <c r="Z395" s="41">
        <f t="shared" si="30"/>
        <v>3061</v>
      </c>
      <c r="AA395" s="42">
        <f t="shared" si="31"/>
        <v>127.54166666666667</v>
      </c>
    </row>
    <row r="396" spans="1:27" ht="14.1" customHeight="1" x14ac:dyDescent="0.2">
      <c r="A396" s="37">
        <v>11</v>
      </c>
      <c r="B396" s="38">
        <v>128</v>
      </c>
      <c r="C396" s="39">
        <v>130</v>
      </c>
      <c r="D396" s="39">
        <v>131</v>
      </c>
      <c r="E396" s="39">
        <v>130</v>
      </c>
      <c r="F396" s="39">
        <v>130</v>
      </c>
      <c r="G396" s="39">
        <v>129</v>
      </c>
      <c r="H396" s="39">
        <v>128</v>
      </c>
      <c r="I396" s="39">
        <v>128</v>
      </c>
      <c r="J396" s="39">
        <v>127</v>
      </c>
      <c r="K396" s="39">
        <v>128</v>
      </c>
      <c r="L396" s="39">
        <v>128</v>
      </c>
      <c r="M396" s="39">
        <v>129</v>
      </c>
      <c r="N396" s="39">
        <v>129</v>
      </c>
      <c r="O396" s="39">
        <v>127</v>
      </c>
      <c r="P396" s="39">
        <v>126</v>
      </c>
      <c r="Q396" s="39">
        <v>124</v>
      </c>
      <c r="R396" s="39">
        <v>123</v>
      </c>
      <c r="S396" s="39">
        <v>121</v>
      </c>
      <c r="T396" s="39">
        <v>119</v>
      </c>
      <c r="U396" s="39">
        <v>118</v>
      </c>
      <c r="V396" s="39">
        <v>115</v>
      </c>
      <c r="W396" s="39">
        <v>115</v>
      </c>
      <c r="X396" s="39">
        <v>116</v>
      </c>
      <c r="Y396" s="40">
        <v>118</v>
      </c>
      <c r="Z396" s="41">
        <f t="shared" si="30"/>
        <v>2997</v>
      </c>
      <c r="AA396" s="42">
        <f t="shared" si="31"/>
        <v>124.875</v>
      </c>
    </row>
    <row r="397" spans="1:27" ht="14.1" customHeight="1" x14ac:dyDescent="0.2">
      <c r="A397" s="37">
        <v>12</v>
      </c>
      <c r="B397" s="38">
        <v>120</v>
      </c>
      <c r="C397" s="39">
        <v>122</v>
      </c>
      <c r="D397" s="39">
        <v>123</v>
      </c>
      <c r="E397" s="39">
        <v>124</v>
      </c>
      <c r="F397" s="39">
        <v>124</v>
      </c>
      <c r="G397" s="39">
        <v>123</v>
      </c>
      <c r="H397" s="39">
        <v>122</v>
      </c>
      <c r="I397" s="39">
        <v>121</v>
      </c>
      <c r="J397" s="39">
        <v>120</v>
      </c>
      <c r="K397" s="39">
        <v>119</v>
      </c>
      <c r="L397" s="39">
        <v>119</v>
      </c>
      <c r="M397" s="39">
        <v>119</v>
      </c>
      <c r="N397" s="39">
        <v>119</v>
      </c>
      <c r="O397" s="39">
        <v>118</v>
      </c>
      <c r="P397" s="39">
        <v>117</v>
      </c>
      <c r="Q397" s="39">
        <v>115</v>
      </c>
      <c r="R397" s="39">
        <v>114</v>
      </c>
      <c r="S397" s="39">
        <v>112</v>
      </c>
      <c r="T397" s="39">
        <v>110</v>
      </c>
      <c r="U397" s="39">
        <v>106</v>
      </c>
      <c r="V397" s="39">
        <v>105</v>
      </c>
      <c r="W397" s="39">
        <v>104</v>
      </c>
      <c r="X397" s="39">
        <v>105</v>
      </c>
      <c r="Y397" s="40">
        <v>104</v>
      </c>
      <c r="Z397" s="41">
        <f t="shared" si="30"/>
        <v>2785</v>
      </c>
      <c r="AA397" s="42">
        <f t="shared" si="31"/>
        <v>116.04166666666667</v>
      </c>
    </row>
    <row r="398" spans="1:27" ht="14.1" customHeight="1" x14ac:dyDescent="0.2">
      <c r="A398" s="37">
        <v>13</v>
      </c>
      <c r="B398" s="38">
        <v>110</v>
      </c>
      <c r="C398" s="39">
        <v>112</v>
      </c>
      <c r="D398" s="39">
        <v>115</v>
      </c>
      <c r="E398" s="39">
        <v>117</v>
      </c>
      <c r="F398" s="39">
        <v>118</v>
      </c>
      <c r="G398" s="39">
        <v>118</v>
      </c>
      <c r="H398" s="39">
        <v>117</v>
      </c>
      <c r="I398" s="39">
        <v>115</v>
      </c>
      <c r="J398" s="39">
        <v>114</v>
      </c>
      <c r="K398" s="39">
        <v>112</v>
      </c>
      <c r="L398" s="39">
        <v>111</v>
      </c>
      <c r="M398" s="39">
        <v>111</v>
      </c>
      <c r="N398" s="39">
        <v>111</v>
      </c>
      <c r="O398" s="39">
        <v>110</v>
      </c>
      <c r="P398" s="39">
        <v>110</v>
      </c>
      <c r="Q398" s="39">
        <v>109</v>
      </c>
      <c r="R398" s="39">
        <v>107</v>
      </c>
      <c r="S398" s="39">
        <v>105</v>
      </c>
      <c r="T398" s="39">
        <v>104</v>
      </c>
      <c r="U398" s="39">
        <v>102</v>
      </c>
      <c r="V398" s="39">
        <v>99</v>
      </c>
      <c r="W398" s="39">
        <v>98</v>
      </c>
      <c r="X398" s="39">
        <v>98</v>
      </c>
      <c r="Y398" s="40">
        <v>99</v>
      </c>
      <c r="Z398" s="41">
        <f t="shared" si="30"/>
        <v>2622</v>
      </c>
      <c r="AA398" s="42">
        <f t="shared" si="31"/>
        <v>109.25</v>
      </c>
    </row>
    <row r="399" spans="1:27" ht="14.1" customHeight="1" x14ac:dyDescent="0.2">
      <c r="A399" s="37">
        <v>14</v>
      </c>
      <c r="B399" s="38">
        <v>102</v>
      </c>
      <c r="C399" s="39">
        <v>105</v>
      </c>
      <c r="D399" s="39">
        <v>108</v>
      </c>
      <c r="E399" s="39">
        <v>111</v>
      </c>
      <c r="F399" s="39">
        <v>113</v>
      </c>
      <c r="G399" s="39">
        <v>114</v>
      </c>
      <c r="H399" s="39">
        <v>114</v>
      </c>
      <c r="I399" s="39">
        <v>112</v>
      </c>
      <c r="J399" s="39">
        <v>109</v>
      </c>
      <c r="K399" s="39">
        <v>107</v>
      </c>
      <c r="L399" s="39">
        <v>105</v>
      </c>
      <c r="M399" s="39">
        <v>105</v>
      </c>
      <c r="N399" s="39">
        <v>105</v>
      </c>
      <c r="O399" s="39">
        <v>105</v>
      </c>
      <c r="P399" s="39">
        <v>105</v>
      </c>
      <c r="Q399" s="39">
        <v>104</v>
      </c>
      <c r="R399" s="39">
        <v>104</v>
      </c>
      <c r="S399" s="39">
        <v>102</v>
      </c>
      <c r="T399" s="39">
        <v>101</v>
      </c>
      <c r="U399" s="39">
        <v>99</v>
      </c>
      <c r="V399" s="39">
        <v>96</v>
      </c>
      <c r="W399" s="39">
        <v>95</v>
      </c>
      <c r="X399" s="39">
        <v>94</v>
      </c>
      <c r="Y399" s="40">
        <v>94</v>
      </c>
      <c r="Z399" s="41">
        <f t="shared" si="30"/>
        <v>2509</v>
      </c>
      <c r="AA399" s="42">
        <f t="shared" si="31"/>
        <v>104.54166666666667</v>
      </c>
    </row>
    <row r="400" spans="1:27" ht="14.1" customHeight="1" x14ac:dyDescent="0.2">
      <c r="A400" s="37">
        <v>15</v>
      </c>
      <c r="B400" s="38">
        <v>97</v>
      </c>
      <c r="C400" s="39">
        <v>101</v>
      </c>
      <c r="D400" s="39">
        <v>104</v>
      </c>
      <c r="E400" s="39">
        <v>107</v>
      </c>
      <c r="F400" s="39">
        <v>109</v>
      </c>
      <c r="G400" s="39">
        <v>110</v>
      </c>
      <c r="H400" s="39">
        <v>110</v>
      </c>
      <c r="I400" s="39">
        <v>108</v>
      </c>
      <c r="J400" s="39">
        <v>104</v>
      </c>
      <c r="K400" s="39">
        <v>101</v>
      </c>
      <c r="L400" s="39">
        <v>99</v>
      </c>
      <c r="M400" s="39">
        <v>98</v>
      </c>
      <c r="N400" s="39">
        <v>98</v>
      </c>
      <c r="O400" s="39">
        <v>97</v>
      </c>
      <c r="P400" s="39">
        <v>98</v>
      </c>
      <c r="Q400" s="39">
        <v>99</v>
      </c>
      <c r="R400" s="39">
        <v>99</v>
      </c>
      <c r="S400" s="39">
        <v>99</v>
      </c>
      <c r="T400" s="39">
        <v>98</v>
      </c>
      <c r="U400" s="39">
        <v>96</v>
      </c>
      <c r="V400" s="39">
        <v>93</v>
      </c>
      <c r="W400" s="39">
        <v>91</v>
      </c>
      <c r="X400" s="39">
        <v>90</v>
      </c>
      <c r="Y400" s="40">
        <v>89</v>
      </c>
      <c r="Z400" s="41">
        <f t="shared" si="30"/>
        <v>2395</v>
      </c>
      <c r="AA400" s="42">
        <f t="shared" si="31"/>
        <v>99.791666666666671</v>
      </c>
    </row>
    <row r="401" spans="1:27" ht="14.1" customHeight="1" x14ac:dyDescent="0.2">
      <c r="A401" s="37">
        <v>16</v>
      </c>
      <c r="B401" s="38">
        <v>90</v>
      </c>
      <c r="C401" s="39">
        <v>93</v>
      </c>
      <c r="D401" s="39">
        <v>98</v>
      </c>
      <c r="E401" s="39">
        <v>101</v>
      </c>
      <c r="F401" s="39">
        <v>103</v>
      </c>
      <c r="G401" s="39">
        <v>104</v>
      </c>
      <c r="H401" s="39">
        <v>104</v>
      </c>
      <c r="I401" s="39">
        <v>102</v>
      </c>
      <c r="J401" s="39">
        <v>97</v>
      </c>
      <c r="K401" s="39">
        <v>94</v>
      </c>
      <c r="L401" s="39">
        <v>92</v>
      </c>
      <c r="M401" s="39">
        <v>90</v>
      </c>
      <c r="N401" s="39">
        <v>90</v>
      </c>
      <c r="O401" s="39">
        <v>90</v>
      </c>
      <c r="P401" s="39">
        <v>91</v>
      </c>
      <c r="Q401" s="39">
        <v>93</v>
      </c>
      <c r="R401" s="39">
        <v>96</v>
      </c>
      <c r="S401" s="39">
        <v>98</v>
      </c>
      <c r="T401" s="39">
        <v>98</v>
      </c>
      <c r="U401" s="39">
        <v>96</v>
      </c>
      <c r="V401" s="39">
        <v>91</v>
      </c>
      <c r="W401" s="39">
        <v>89</v>
      </c>
      <c r="X401" s="39">
        <v>87</v>
      </c>
      <c r="Y401" s="40">
        <v>85</v>
      </c>
      <c r="Z401" s="41">
        <f t="shared" si="30"/>
        <v>2272</v>
      </c>
      <c r="AA401" s="42">
        <f t="shared" si="31"/>
        <v>94.666666666666671</v>
      </c>
    </row>
    <row r="402" spans="1:27" ht="14.1" customHeight="1" x14ac:dyDescent="0.2">
      <c r="A402" s="37">
        <v>17</v>
      </c>
      <c r="B402" s="38">
        <v>85</v>
      </c>
      <c r="C402" s="39">
        <v>87</v>
      </c>
      <c r="D402" s="39">
        <v>92</v>
      </c>
      <c r="E402" s="39">
        <v>97</v>
      </c>
      <c r="F402" s="39">
        <v>100</v>
      </c>
      <c r="G402" s="39">
        <v>101</v>
      </c>
      <c r="H402" s="39">
        <v>101</v>
      </c>
      <c r="I402" s="39">
        <v>98</v>
      </c>
      <c r="J402" s="39">
        <v>92</v>
      </c>
      <c r="K402" s="39">
        <v>89</v>
      </c>
      <c r="L402" s="39">
        <v>87</v>
      </c>
      <c r="M402" s="39">
        <v>85</v>
      </c>
      <c r="N402" s="39">
        <v>84</v>
      </c>
      <c r="O402" s="39">
        <v>83</v>
      </c>
      <c r="P402" s="39">
        <v>84</v>
      </c>
      <c r="Q402" s="39">
        <v>88</v>
      </c>
      <c r="R402" s="39">
        <v>92</v>
      </c>
      <c r="S402" s="39">
        <v>96</v>
      </c>
      <c r="T402" s="39">
        <v>97</v>
      </c>
      <c r="U402" s="39">
        <v>97</v>
      </c>
      <c r="V402" s="39">
        <v>91</v>
      </c>
      <c r="W402" s="39">
        <v>87</v>
      </c>
      <c r="X402" s="39">
        <v>84</v>
      </c>
      <c r="Y402" s="40">
        <v>83</v>
      </c>
      <c r="Z402" s="41">
        <f t="shared" si="30"/>
        <v>2180</v>
      </c>
      <c r="AA402" s="42">
        <f t="shared" si="31"/>
        <v>90.833333333333329</v>
      </c>
    </row>
    <row r="403" spans="1:27" ht="14.1" customHeight="1" x14ac:dyDescent="0.2">
      <c r="A403" s="37">
        <v>18</v>
      </c>
      <c r="B403" s="38">
        <v>82</v>
      </c>
      <c r="C403" s="39">
        <v>83</v>
      </c>
      <c r="D403" s="39">
        <v>87</v>
      </c>
      <c r="E403" s="39">
        <v>94</v>
      </c>
      <c r="F403" s="39">
        <v>98</v>
      </c>
      <c r="G403" s="39">
        <v>99</v>
      </c>
      <c r="H403" s="39">
        <v>99</v>
      </c>
      <c r="I403" s="39">
        <v>97</v>
      </c>
      <c r="J403" s="39">
        <v>88</v>
      </c>
      <c r="K403" s="39">
        <v>84</v>
      </c>
      <c r="L403" s="39">
        <v>82</v>
      </c>
      <c r="M403" s="39">
        <v>80</v>
      </c>
      <c r="N403" s="39">
        <v>78</v>
      </c>
      <c r="O403" s="39">
        <v>77</v>
      </c>
      <c r="P403" s="39">
        <v>78</v>
      </c>
      <c r="Q403" s="39">
        <v>83</v>
      </c>
      <c r="R403" s="39">
        <v>89</v>
      </c>
      <c r="S403" s="39">
        <v>95</v>
      </c>
      <c r="T403" s="39">
        <v>99</v>
      </c>
      <c r="U403" s="39">
        <v>99</v>
      </c>
      <c r="V403" s="39">
        <v>98</v>
      </c>
      <c r="W403" s="39">
        <v>96</v>
      </c>
      <c r="X403" s="39">
        <v>89</v>
      </c>
      <c r="Y403" s="40">
        <v>85</v>
      </c>
      <c r="Z403" s="41">
        <f t="shared" si="30"/>
        <v>2139</v>
      </c>
      <c r="AA403" s="42">
        <f t="shared" si="31"/>
        <v>89.125</v>
      </c>
    </row>
    <row r="404" spans="1:27" ht="14.1" customHeight="1" x14ac:dyDescent="0.2">
      <c r="A404" s="37">
        <v>19</v>
      </c>
      <c r="B404" s="38">
        <v>83</v>
      </c>
      <c r="C404" s="39">
        <v>83</v>
      </c>
      <c r="D404" s="39">
        <v>86</v>
      </c>
      <c r="E404" s="39">
        <v>92</v>
      </c>
      <c r="F404" s="39">
        <v>97</v>
      </c>
      <c r="G404" s="39">
        <v>100</v>
      </c>
      <c r="H404" s="39">
        <v>100</v>
      </c>
      <c r="I404" s="39">
        <v>99</v>
      </c>
      <c r="J404" s="39">
        <v>93</v>
      </c>
      <c r="K404" s="39">
        <v>88</v>
      </c>
      <c r="L404" s="39">
        <v>86</v>
      </c>
      <c r="M404" s="39">
        <v>84</v>
      </c>
      <c r="N404" s="39">
        <v>82</v>
      </c>
      <c r="O404" s="39">
        <v>80</v>
      </c>
      <c r="P404" s="39">
        <v>80</v>
      </c>
      <c r="Q404" s="39">
        <v>87</v>
      </c>
      <c r="R404" s="39">
        <v>92</v>
      </c>
      <c r="S404" s="39">
        <v>99</v>
      </c>
      <c r="T404" s="39">
        <v>103</v>
      </c>
      <c r="U404" s="39">
        <v>104</v>
      </c>
      <c r="V404" s="39">
        <v>104</v>
      </c>
      <c r="W404" s="39">
        <v>103</v>
      </c>
      <c r="X404" s="39">
        <v>100</v>
      </c>
      <c r="Y404" s="40">
        <v>94</v>
      </c>
      <c r="Z404" s="41">
        <f t="shared" si="30"/>
        <v>2219</v>
      </c>
      <c r="AA404" s="42">
        <f t="shared" si="31"/>
        <v>92.458333333333329</v>
      </c>
    </row>
    <row r="405" spans="1:27" ht="14.1" customHeight="1" x14ac:dyDescent="0.2">
      <c r="A405" s="37">
        <v>20</v>
      </c>
      <c r="B405" s="38">
        <v>91</v>
      </c>
      <c r="C405" s="39">
        <v>90</v>
      </c>
      <c r="D405" s="39">
        <v>91</v>
      </c>
      <c r="E405" s="39">
        <v>95</v>
      </c>
      <c r="F405" s="39">
        <v>101</v>
      </c>
      <c r="G405" s="39">
        <v>104</v>
      </c>
      <c r="H405" s="39">
        <v>105</v>
      </c>
      <c r="I405" s="39">
        <v>106</v>
      </c>
      <c r="J405" s="39">
        <v>104</v>
      </c>
      <c r="K405" s="39">
        <v>97</v>
      </c>
      <c r="L405" s="39">
        <v>92</v>
      </c>
      <c r="M405" s="39">
        <v>90</v>
      </c>
      <c r="N405" s="39">
        <v>88</v>
      </c>
      <c r="O405" s="39">
        <v>86</v>
      </c>
      <c r="P405" s="39">
        <v>84</v>
      </c>
      <c r="Q405" s="39">
        <v>84</v>
      </c>
      <c r="R405" s="39">
        <v>89</v>
      </c>
      <c r="S405" s="39">
        <v>97</v>
      </c>
      <c r="T405" s="39">
        <v>103</v>
      </c>
      <c r="U405" s="39">
        <v>105</v>
      </c>
      <c r="V405" s="39">
        <v>105</v>
      </c>
      <c r="W405" s="39">
        <v>105</v>
      </c>
      <c r="X405" s="39">
        <v>104</v>
      </c>
      <c r="Y405" s="40">
        <v>101</v>
      </c>
      <c r="Z405" s="41">
        <f t="shared" si="30"/>
        <v>2317</v>
      </c>
      <c r="AA405" s="42">
        <f t="shared" si="31"/>
        <v>96.541666666666671</v>
      </c>
    </row>
    <row r="406" spans="1:27" ht="14.1" customHeight="1" x14ac:dyDescent="0.2">
      <c r="A406" s="37">
        <v>21</v>
      </c>
      <c r="B406" s="38">
        <v>96</v>
      </c>
      <c r="C406" s="39">
        <v>94</v>
      </c>
      <c r="D406" s="39">
        <v>93</v>
      </c>
      <c r="E406" s="39">
        <v>95</v>
      </c>
      <c r="F406" s="39">
        <v>99</v>
      </c>
      <c r="G406" s="39">
        <v>104</v>
      </c>
      <c r="H406" s="39">
        <v>107</v>
      </c>
      <c r="I406" s="39">
        <v>107</v>
      </c>
      <c r="J406" s="39">
        <v>106</v>
      </c>
      <c r="K406" s="39">
        <v>100</v>
      </c>
      <c r="L406" s="39">
        <v>94</v>
      </c>
      <c r="M406" s="39">
        <v>91</v>
      </c>
      <c r="N406" s="39">
        <v>89</v>
      </c>
      <c r="O406" s="39">
        <v>87</v>
      </c>
      <c r="P406" s="39">
        <v>85</v>
      </c>
      <c r="Q406" s="39">
        <v>84</v>
      </c>
      <c r="R406" s="39">
        <v>88</v>
      </c>
      <c r="S406" s="39">
        <v>93</v>
      </c>
      <c r="T406" s="39">
        <v>100</v>
      </c>
      <c r="U406" s="39">
        <v>104</v>
      </c>
      <c r="V406" s="39">
        <v>105</v>
      </c>
      <c r="W406" s="39">
        <v>105</v>
      </c>
      <c r="X406" s="39">
        <v>105</v>
      </c>
      <c r="Y406" s="40">
        <v>105</v>
      </c>
      <c r="Z406" s="41">
        <f t="shared" si="30"/>
        <v>2336</v>
      </c>
      <c r="AA406" s="42">
        <f t="shared" si="31"/>
        <v>97.333333333333329</v>
      </c>
    </row>
    <row r="407" spans="1:27" ht="14.1" customHeight="1" x14ac:dyDescent="0.2">
      <c r="A407" s="37">
        <v>22</v>
      </c>
      <c r="B407" s="38">
        <v>104</v>
      </c>
      <c r="C407" s="39">
        <v>101</v>
      </c>
      <c r="D407" s="39">
        <v>97</v>
      </c>
      <c r="E407" s="39">
        <v>97</v>
      </c>
      <c r="F407" s="39">
        <v>99</v>
      </c>
      <c r="G407" s="39">
        <v>103</v>
      </c>
      <c r="H407" s="39">
        <v>106</v>
      </c>
      <c r="I407" s="39">
        <v>108</v>
      </c>
      <c r="J407" s="39">
        <v>108</v>
      </c>
      <c r="K407" s="39">
        <v>107</v>
      </c>
      <c r="L407" s="39">
        <v>99</v>
      </c>
      <c r="M407" s="39">
        <v>95</v>
      </c>
      <c r="N407" s="39">
        <v>92</v>
      </c>
      <c r="O407" s="39">
        <v>90</v>
      </c>
      <c r="P407" s="39">
        <v>88</v>
      </c>
      <c r="Q407" s="39">
        <v>86</v>
      </c>
      <c r="R407" s="39">
        <v>85</v>
      </c>
      <c r="S407" s="39">
        <v>90</v>
      </c>
      <c r="T407" s="39">
        <v>96</v>
      </c>
      <c r="U407" s="39">
        <v>102</v>
      </c>
      <c r="V407" s="39">
        <v>106</v>
      </c>
      <c r="W407" s="39">
        <v>107</v>
      </c>
      <c r="X407" s="39">
        <v>107</v>
      </c>
      <c r="Y407" s="40">
        <v>107</v>
      </c>
      <c r="Z407" s="41">
        <f t="shared" si="30"/>
        <v>2380</v>
      </c>
      <c r="AA407" s="42">
        <f t="shared" si="31"/>
        <v>99.166666666666671</v>
      </c>
    </row>
    <row r="408" spans="1:27" ht="14.1" customHeight="1" x14ac:dyDescent="0.2">
      <c r="A408" s="37">
        <v>23</v>
      </c>
      <c r="B408" s="38">
        <v>105</v>
      </c>
      <c r="C408" s="39">
        <v>101</v>
      </c>
      <c r="D408" s="39">
        <v>98</v>
      </c>
      <c r="E408" s="39">
        <v>99</v>
      </c>
      <c r="F408" s="39">
        <v>101</v>
      </c>
      <c r="G408" s="39">
        <v>105</v>
      </c>
      <c r="H408" s="39">
        <v>108</v>
      </c>
      <c r="I408" s="39">
        <v>110</v>
      </c>
      <c r="J408" s="39">
        <v>110</v>
      </c>
      <c r="K408" s="39">
        <v>109</v>
      </c>
      <c r="L408" s="39">
        <v>103</v>
      </c>
      <c r="M408" s="39">
        <v>98</v>
      </c>
      <c r="N408" s="39">
        <v>95</v>
      </c>
      <c r="O408" s="39">
        <v>92</v>
      </c>
      <c r="P408" s="39">
        <v>90</v>
      </c>
      <c r="Q408" s="39">
        <v>88</v>
      </c>
      <c r="R408" s="39">
        <v>87</v>
      </c>
      <c r="S408" s="39">
        <v>89</v>
      </c>
      <c r="T408" s="39">
        <v>94</v>
      </c>
      <c r="U408" s="39">
        <v>100</v>
      </c>
      <c r="V408" s="39">
        <v>105</v>
      </c>
      <c r="W408" s="39">
        <v>107</v>
      </c>
      <c r="X408" s="39">
        <v>108</v>
      </c>
      <c r="Y408" s="40">
        <v>108</v>
      </c>
      <c r="Z408" s="41">
        <f t="shared" si="30"/>
        <v>2410</v>
      </c>
      <c r="AA408" s="42">
        <f t="shared" si="31"/>
        <v>100.41666666666667</v>
      </c>
    </row>
    <row r="409" spans="1:27" ht="14.1" customHeight="1" x14ac:dyDescent="0.2">
      <c r="A409" s="43">
        <v>24</v>
      </c>
      <c r="B409" s="38">
        <v>108</v>
      </c>
      <c r="C409" s="39">
        <v>107</v>
      </c>
      <c r="D409" s="39">
        <v>104</v>
      </c>
      <c r="E409" s="39">
        <v>101</v>
      </c>
      <c r="F409" s="39">
        <v>101</v>
      </c>
      <c r="G409" s="39">
        <v>103</v>
      </c>
      <c r="H409" s="39">
        <v>107</v>
      </c>
      <c r="I409" s="39">
        <v>109</v>
      </c>
      <c r="J409" s="39">
        <v>110</v>
      </c>
      <c r="K409" s="39">
        <v>109</v>
      </c>
      <c r="L409" s="39">
        <v>104</v>
      </c>
      <c r="M409" s="39">
        <v>98</v>
      </c>
      <c r="N409" s="39">
        <v>95</v>
      </c>
      <c r="O409" s="39">
        <v>93</v>
      </c>
      <c r="P409" s="39">
        <v>90</v>
      </c>
      <c r="Q409" s="39">
        <v>88</v>
      </c>
      <c r="R409" s="39">
        <v>87</v>
      </c>
      <c r="S409" s="39">
        <v>87</v>
      </c>
      <c r="T409" s="39">
        <v>92</v>
      </c>
      <c r="U409" s="39">
        <v>97</v>
      </c>
      <c r="V409" s="39">
        <v>103</v>
      </c>
      <c r="W409" s="39">
        <v>107</v>
      </c>
      <c r="X409" s="39">
        <v>108</v>
      </c>
      <c r="Y409" s="40">
        <v>108</v>
      </c>
      <c r="Z409" s="41">
        <f t="shared" si="30"/>
        <v>2416</v>
      </c>
      <c r="AA409" s="42">
        <f t="shared" si="31"/>
        <v>100.66666666666667</v>
      </c>
    </row>
    <row r="410" spans="1:27" ht="14.1" customHeight="1" x14ac:dyDescent="0.2">
      <c r="A410" s="37">
        <v>25</v>
      </c>
      <c r="B410" s="38">
        <v>108</v>
      </c>
      <c r="C410" s="39">
        <v>108</v>
      </c>
      <c r="D410" s="39">
        <v>107</v>
      </c>
      <c r="E410" s="39">
        <v>105</v>
      </c>
      <c r="F410" s="39">
        <v>102</v>
      </c>
      <c r="G410" s="39">
        <v>102</v>
      </c>
      <c r="H410" s="39">
        <v>104</v>
      </c>
      <c r="I410" s="39">
        <v>107</v>
      </c>
      <c r="J410" s="39">
        <v>109</v>
      </c>
      <c r="K410" s="39">
        <v>109</v>
      </c>
      <c r="L410" s="39">
        <v>108</v>
      </c>
      <c r="M410" s="39">
        <v>101</v>
      </c>
      <c r="N410" s="39">
        <v>97</v>
      </c>
      <c r="O410" s="39">
        <v>95</v>
      </c>
      <c r="P410" s="39">
        <v>92</v>
      </c>
      <c r="Q410" s="39">
        <v>90</v>
      </c>
      <c r="R410" s="39">
        <v>88</v>
      </c>
      <c r="S410" s="39">
        <v>87</v>
      </c>
      <c r="T410" s="39">
        <v>89</v>
      </c>
      <c r="U410" s="39">
        <v>94</v>
      </c>
      <c r="V410" s="39">
        <v>100</v>
      </c>
      <c r="W410" s="39">
        <v>105</v>
      </c>
      <c r="X410" s="39">
        <v>107</v>
      </c>
      <c r="Y410" s="40">
        <v>108</v>
      </c>
      <c r="Z410" s="41">
        <f t="shared" si="30"/>
        <v>2422</v>
      </c>
      <c r="AA410" s="42">
        <f t="shared" si="31"/>
        <v>100.91666666666667</v>
      </c>
    </row>
    <row r="411" spans="1:27" ht="14.1" customHeight="1" x14ac:dyDescent="0.2">
      <c r="A411" s="37">
        <v>26</v>
      </c>
      <c r="B411" s="38">
        <v>108</v>
      </c>
      <c r="C411" s="39">
        <v>108</v>
      </c>
      <c r="D411" s="39">
        <v>108</v>
      </c>
      <c r="E411" s="39">
        <v>107</v>
      </c>
      <c r="F411" s="39">
        <v>106</v>
      </c>
      <c r="G411" s="39">
        <v>105</v>
      </c>
      <c r="H411" s="39">
        <v>106</v>
      </c>
      <c r="I411" s="39">
        <v>107</v>
      </c>
      <c r="J411" s="39">
        <v>109</v>
      </c>
      <c r="K411" s="39">
        <v>110</v>
      </c>
      <c r="L411" s="39">
        <v>109</v>
      </c>
      <c r="M411" s="39">
        <v>105</v>
      </c>
      <c r="N411" s="39">
        <v>97</v>
      </c>
      <c r="O411" s="39">
        <v>94</v>
      </c>
      <c r="P411" s="39">
        <v>92</v>
      </c>
      <c r="Q411" s="39">
        <v>89</v>
      </c>
      <c r="R411" s="39">
        <v>87</v>
      </c>
      <c r="S411" s="39">
        <v>86</v>
      </c>
      <c r="T411" s="39">
        <v>85</v>
      </c>
      <c r="U411" s="39">
        <v>86</v>
      </c>
      <c r="V411" s="39">
        <v>91</v>
      </c>
      <c r="W411" s="39">
        <v>97</v>
      </c>
      <c r="X411" s="39">
        <v>101</v>
      </c>
      <c r="Y411" s="40">
        <v>103</v>
      </c>
      <c r="Z411" s="41">
        <f t="shared" si="30"/>
        <v>2396</v>
      </c>
      <c r="AA411" s="42">
        <f t="shared" si="31"/>
        <v>99.833333333333329</v>
      </c>
    </row>
    <row r="412" spans="1:27" ht="14.1" customHeight="1" x14ac:dyDescent="0.2">
      <c r="A412" s="37">
        <v>27</v>
      </c>
      <c r="B412" s="38">
        <v>104</v>
      </c>
      <c r="C412" s="39">
        <v>104</v>
      </c>
      <c r="D412" s="39">
        <v>104</v>
      </c>
      <c r="E412" s="39">
        <v>103</v>
      </c>
      <c r="F412" s="39">
        <v>101</v>
      </c>
      <c r="G412" s="39">
        <v>100</v>
      </c>
      <c r="H412" s="39">
        <v>99</v>
      </c>
      <c r="I412" s="39">
        <v>99</v>
      </c>
      <c r="J412" s="39">
        <v>100</v>
      </c>
      <c r="K412" s="39">
        <v>101</v>
      </c>
      <c r="L412" s="39">
        <v>102</v>
      </c>
      <c r="M412" s="39">
        <v>101</v>
      </c>
      <c r="N412" s="39">
        <v>97</v>
      </c>
      <c r="O412" s="39">
        <v>92</v>
      </c>
      <c r="P412" s="39">
        <v>89</v>
      </c>
      <c r="Q412" s="39">
        <v>87</v>
      </c>
      <c r="R412" s="39">
        <v>84</v>
      </c>
      <c r="S412" s="39">
        <v>82</v>
      </c>
      <c r="T412" s="39">
        <v>80</v>
      </c>
      <c r="U412" s="39">
        <v>80</v>
      </c>
      <c r="V412" s="39">
        <v>82</v>
      </c>
      <c r="W412" s="39">
        <v>87</v>
      </c>
      <c r="X412" s="39">
        <v>93</v>
      </c>
      <c r="Y412" s="40">
        <v>98</v>
      </c>
      <c r="Z412" s="41">
        <f t="shared" si="30"/>
        <v>2269</v>
      </c>
      <c r="AA412" s="42">
        <f t="shared" si="31"/>
        <v>94.541666666666671</v>
      </c>
    </row>
    <row r="413" spans="1:27" ht="14.1" customHeight="1" x14ac:dyDescent="0.2">
      <c r="A413" s="37">
        <v>28</v>
      </c>
      <c r="B413" s="38">
        <v>100</v>
      </c>
      <c r="C413" s="39">
        <v>100</v>
      </c>
      <c r="D413" s="39">
        <v>100</v>
      </c>
      <c r="E413" s="39">
        <v>98</v>
      </c>
      <c r="F413" s="39">
        <v>96</v>
      </c>
      <c r="G413" s="39">
        <v>93</v>
      </c>
      <c r="H413" s="39">
        <v>91</v>
      </c>
      <c r="I413" s="39">
        <v>91</v>
      </c>
      <c r="J413" s="39">
        <v>91</v>
      </c>
      <c r="K413" s="39">
        <v>92</v>
      </c>
      <c r="L413" s="39">
        <v>93</v>
      </c>
      <c r="M413" s="39">
        <v>93</v>
      </c>
      <c r="N413" s="39">
        <v>92</v>
      </c>
      <c r="O413" s="39">
        <v>89</v>
      </c>
      <c r="P413" s="39">
        <v>85</v>
      </c>
      <c r="Q413" s="39">
        <v>82</v>
      </c>
      <c r="R413" s="39">
        <v>79</v>
      </c>
      <c r="S413" s="39">
        <v>77</v>
      </c>
      <c r="T413" s="39">
        <v>74</v>
      </c>
      <c r="U413" s="39">
        <v>73</v>
      </c>
      <c r="V413" s="39">
        <v>72</v>
      </c>
      <c r="W413" s="39">
        <v>75</v>
      </c>
      <c r="X413" s="39">
        <v>81</v>
      </c>
      <c r="Y413" s="40">
        <v>89</v>
      </c>
      <c r="Z413" s="41">
        <f t="shared" si="30"/>
        <v>2106</v>
      </c>
      <c r="AA413" s="42">
        <f t="shared" si="31"/>
        <v>87.75</v>
      </c>
    </row>
    <row r="414" spans="1:27" ht="14.1" customHeight="1" x14ac:dyDescent="0.2">
      <c r="A414" s="37">
        <v>29</v>
      </c>
      <c r="B414" s="38">
        <v>95</v>
      </c>
      <c r="C414" s="39">
        <v>97</v>
      </c>
      <c r="D414" s="39">
        <v>97</v>
      </c>
      <c r="E414" s="39">
        <v>97</v>
      </c>
      <c r="F414" s="39">
        <v>95</v>
      </c>
      <c r="G414" s="39">
        <v>91</v>
      </c>
      <c r="H414" s="39">
        <v>85</v>
      </c>
      <c r="I414" s="39">
        <v>82</v>
      </c>
      <c r="J414" s="39">
        <v>80</v>
      </c>
      <c r="K414" s="39">
        <v>79</v>
      </c>
      <c r="L414" s="39">
        <v>80</v>
      </c>
      <c r="M414" s="39">
        <v>81</v>
      </c>
      <c r="N414" s="39">
        <v>82</v>
      </c>
      <c r="O414" s="39">
        <v>82</v>
      </c>
      <c r="P414" s="39">
        <v>80</v>
      </c>
      <c r="Q414" s="39">
        <v>77</v>
      </c>
      <c r="R414" s="39">
        <v>74</v>
      </c>
      <c r="S414" s="39">
        <v>71</v>
      </c>
      <c r="T414" s="39">
        <v>68</v>
      </c>
      <c r="U414" s="39">
        <v>66</v>
      </c>
      <c r="V414" s="39">
        <v>62</v>
      </c>
      <c r="W414" s="39">
        <v>63</v>
      </c>
      <c r="X414" s="39">
        <v>68</v>
      </c>
      <c r="Y414" s="40">
        <v>76</v>
      </c>
      <c r="Z414" s="41">
        <f t="shared" si="30"/>
        <v>1928</v>
      </c>
      <c r="AA414" s="42">
        <f t="shared" si="31"/>
        <v>80.333333333333329</v>
      </c>
    </row>
    <row r="415" spans="1:27" ht="14.1" customHeight="1" x14ac:dyDescent="0.2">
      <c r="A415" s="37">
        <v>30</v>
      </c>
      <c r="B415" s="38">
        <v>85</v>
      </c>
      <c r="C415" s="39">
        <v>89</v>
      </c>
      <c r="D415" s="39">
        <v>90</v>
      </c>
      <c r="E415" s="39">
        <v>90</v>
      </c>
      <c r="F415" s="39">
        <v>88</v>
      </c>
      <c r="G415" s="39">
        <v>84</v>
      </c>
      <c r="H415" s="39">
        <v>77</v>
      </c>
      <c r="I415" s="39">
        <v>71</v>
      </c>
      <c r="J415" s="39">
        <v>68</v>
      </c>
      <c r="K415" s="39">
        <v>65</v>
      </c>
      <c r="L415" s="39">
        <v>65</v>
      </c>
      <c r="M415" s="39">
        <v>66</v>
      </c>
      <c r="N415" s="39">
        <v>70</v>
      </c>
      <c r="O415" s="39">
        <v>73</v>
      </c>
      <c r="P415" s="39">
        <v>75</v>
      </c>
      <c r="Q415" s="39">
        <v>73</v>
      </c>
      <c r="R415" s="39">
        <v>69</v>
      </c>
      <c r="S415" s="39">
        <v>65</v>
      </c>
      <c r="T415" s="39">
        <v>62</v>
      </c>
      <c r="U415" s="39">
        <v>59</v>
      </c>
      <c r="V415" s="39">
        <v>55</v>
      </c>
      <c r="W415" s="39">
        <v>54</v>
      </c>
      <c r="X415" s="39">
        <v>54</v>
      </c>
      <c r="Y415" s="40">
        <v>59</v>
      </c>
      <c r="Z415" s="41">
        <f t="shared" si="30"/>
        <v>1706</v>
      </c>
      <c r="AA415" s="42">
        <f t="shared" si="31"/>
        <v>71.083333333333329</v>
      </c>
    </row>
    <row r="416" spans="1:27" ht="14.1" customHeight="1" x14ac:dyDescent="0.2">
      <c r="A416" s="37">
        <v>31</v>
      </c>
      <c r="B416" s="44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6"/>
      <c r="Z416" s="47">
        <f t="shared" si="30"/>
        <v>0</v>
      </c>
      <c r="AA416" s="48" t="e">
        <f t="shared" si="31"/>
        <v>#DIV/0!</v>
      </c>
    </row>
    <row r="417" spans="1:27" ht="14.1" customHeight="1" x14ac:dyDescent="0.2">
      <c r="A417" s="27" t="s">
        <v>7</v>
      </c>
      <c r="B417" s="49">
        <f t="shared" ref="B417:Y417" si="32">SUM(B386:B416)</f>
        <v>3149</v>
      </c>
      <c r="C417" s="49">
        <f t="shared" si="32"/>
        <v>3164</v>
      </c>
      <c r="D417" s="49">
        <f t="shared" si="32"/>
        <v>3189</v>
      </c>
      <c r="E417" s="49">
        <f t="shared" si="32"/>
        <v>3227</v>
      </c>
      <c r="F417" s="49">
        <f t="shared" si="32"/>
        <v>3262</v>
      </c>
      <c r="G417" s="49">
        <f t="shared" si="32"/>
        <v>3289</v>
      </c>
      <c r="H417" s="49">
        <f t="shared" si="32"/>
        <v>3302</v>
      </c>
      <c r="I417" s="49">
        <f t="shared" si="32"/>
        <v>3299</v>
      </c>
      <c r="J417" s="49">
        <f t="shared" si="32"/>
        <v>3258</v>
      </c>
      <c r="K417" s="49">
        <f t="shared" si="32"/>
        <v>3212</v>
      </c>
      <c r="L417" s="49">
        <f t="shared" si="32"/>
        <v>3158</v>
      </c>
      <c r="M417" s="49">
        <f t="shared" si="32"/>
        <v>3104</v>
      </c>
      <c r="N417" s="49">
        <f t="shared" si="32"/>
        <v>3055</v>
      </c>
      <c r="O417" s="49">
        <f t="shared" si="32"/>
        <v>3014</v>
      </c>
      <c r="P417" s="49">
        <f t="shared" si="32"/>
        <v>2985</v>
      </c>
      <c r="Q417" s="50">
        <f t="shared" si="32"/>
        <v>2972</v>
      </c>
      <c r="R417" s="49">
        <f t="shared" si="32"/>
        <v>2979</v>
      </c>
      <c r="S417" s="49">
        <f t="shared" si="32"/>
        <v>3005</v>
      </c>
      <c r="T417" s="49">
        <f t="shared" si="32"/>
        <v>3033</v>
      </c>
      <c r="U417" s="49">
        <f t="shared" si="32"/>
        <v>3050</v>
      </c>
      <c r="V417" s="49">
        <f t="shared" si="32"/>
        <v>3052</v>
      </c>
      <c r="W417" s="49">
        <f t="shared" si="32"/>
        <v>3067</v>
      </c>
      <c r="X417" s="49">
        <f t="shared" si="32"/>
        <v>3078</v>
      </c>
      <c r="Y417" s="49">
        <f t="shared" si="32"/>
        <v>3091</v>
      </c>
      <c r="Z417" s="51">
        <f>SUM(B386:Y416)</f>
        <v>74994</v>
      </c>
      <c r="AA417" s="52">
        <f>AVERAGE(B386:Y416)</f>
        <v>104.15833333333333</v>
      </c>
    </row>
    <row r="418" spans="1:27" ht="14.1" customHeight="1" x14ac:dyDescent="0.25">
      <c r="A418" s="53" t="s">
        <v>10</v>
      </c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 spans="1:27" ht="14.1" customHeight="1" x14ac:dyDescent="0.25">
      <c r="A419" s="55" t="str">
        <f>A381</f>
        <v>Trạm: Gò Dầu Hạ</v>
      </c>
      <c r="B419" s="2"/>
      <c r="C419" s="3"/>
      <c r="D419" s="4"/>
      <c r="E419" s="5"/>
      <c r="F419" s="5"/>
      <c r="G419" s="5"/>
      <c r="H419" s="5"/>
      <c r="I419" s="6"/>
      <c r="J419" s="4"/>
      <c r="K419" s="5"/>
      <c r="L419" s="5"/>
      <c r="M419" s="5"/>
      <c r="N419" s="5"/>
      <c r="O419" s="4"/>
      <c r="P419" s="6"/>
      <c r="Q419" s="4"/>
      <c r="R419" s="5"/>
      <c r="S419" s="5"/>
      <c r="T419" s="5"/>
      <c r="U419" s="5"/>
      <c r="V419" s="6"/>
      <c r="W419" s="4"/>
      <c r="X419" s="7"/>
      <c r="Y419" s="5"/>
      <c r="Z419" s="5"/>
      <c r="AA419" s="5"/>
    </row>
    <row r="420" spans="1:27" ht="14.1" customHeight="1" x14ac:dyDescent="0.25">
      <c r="A420" s="55" t="str">
        <f>A382</f>
        <v>Sông: Vàm Cỏ Đông</v>
      </c>
      <c r="B420" s="2"/>
      <c r="C420" s="2"/>
      <c r="D420" s="9"/>
      <c r="E420" s="10"/>
      <c r="F420" s="10"/>
      <c r="G420" s="10"/>
      <c r="H420" s="10"/>
      <c r="I420" s="11"/>
      <c r="J420" s="11"/>
      <c r="K420" s="5"/>
      <c r="L420" s="5"/>
      <c r="M420" s="12" t="s">
        <v>2</v>
      </c>
      <c r="N420" s="13"/>
      <c r="O420" s="13"/>
      <c r="P420" s="13"/>
      <c r="Q420" s="14"/>
      <c r="R420" s="14"/>
      <c r="S420" s="10"/>
      <c r="T420" s="10"/>
      <c r="U420" s="10"/>
      <c r="V420" s="11"/>
      <c r="W420" s="11"/>
      <c r="X420" s="7"/>
      <c r="Y420" s="5"/>
      <c r="Z420" s="5"/>
      <c r="AA420" s="5"/>
    </row>
    <row r="421" spans="1:27" ht="14.1" customHeight="1" x14ac:dyDescent="0.25">
      <c r="A421" s="56" t="s">
        <v>3</v>
      </c>
      <c r="B421" s="16">
        <f>B383+1</f>
        <v>12</v>
      </c>
      <c r="C421" s="16"/>
      <c r="D421" s="17"/>
      <c r="E421" s="9"/>
      <c r="F421" s="18"/>
      <c r="G421" s="10"/>
      <c r="H421" s="10"/>
      <c r="I421" s="10"/>
      <c r="J421" s="4"/>
      <c r="K421" s="5"/>
      <c r="L421" s="5"/>
      <c r="M421" s="19"/>
      <c r="N421" s="20" t="s">
        <v>4</v>
      </c>
      <c r="O421" s="22">
        <f>O383</f>
        <v>2025</v>
      </c>
      <c r="P421" s="22"/>
      <c r="Q421" s="13"/>
      <c r="R421" s="14"/>
      <c r="S421" s="18"/>
      <c r="T421" s="10"/>
      <c r="U421" s="10"/>
      <c r="V421" s="10"/>
      <c r="W421" s="4"/>
      <c r="X421" s="23" t="s">
        <v>5</v>
      </c>
      <c r="Y421" s="5"/>
      <c r="Z421" s="5"/>
      <c r="AA421" s="5"/>
    </row>
    <row r="422" spans="1:27" ht="14.1" customHeight="1" x14ac:dyDescent="0.2">
      <c r="A422" s="24" t="s">
        <v>6</v>
      </c>
      <c r="B422" s="25">
        <v>0</v>
      </c>
      <c r="C422" s="26">
        <v>1</v>
      </c>
      <c r="D422" s="25">
        <v>2</v>
      </c>
      <c r="E422" s="25">
        <v>3</v>
      </c>
      <c r="F422" s="26">
        <v>4</v>
      </c>
      <c r="G422" s="25">
        <v>5</v>
      </c>
      <c r="H422" s="25">
        <v>6</v>
      </c>
      <c r="I422" s="26">
        <v>7</v>
      </c>
      <c r="J422" s="25">
        <v>8</v>
      </c>
      <c r="K422" s="25">
        <v>9</v>
      </c>
      <c r="L422" s="25">
        <v>10</v>
      </c>
      <c r="M422" s="25">
        <v>11</v>
      </c>
      <c r="N422" s="25">
        <v>12</v>
      </c>
      <c r="O422" s="25">
        <v>13</v>
      </c>
      <c r="P422" s="26">
        <v>14</v>
      </c>
      <c r="Q422" s="25">
        <v>15</v>
      </c>
      <c r="R422" s="26">
        <v>16</v>
      </c>
      <c r="S422" s="25">
        <v>17</v>
      </c>
      <c r="T422" s="26">
        <v>18</v>
      </c>
      <c r="U422" s="25">
        <v>19</v>
      </c>
      <c r="V422" s="26">
        <v>20</v>
      </c>
      <c r="W422" s="25">
        <v>21</v>
      </c>
      <c r="X422" s="26">
        <v>22</v>
      </c>
      <c r="Y422" s="25">
        <v>23</v>
      </c>
      <c r="Z422" s="27" t="s">
        <v>7</v>
      </c>
      <c r="AA422" s="27" t="s">
        <v>8</v>
      </c>
    </row>
    <row r="423" spans="1:27" ht="14.1" customHeight="1" x14ac:dyDescent="0.2">
      <c r="A423" s="28" t="s">
        <v>9</v>
      </c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30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 spans="1:27" ht="14.1" customHeight="1" x14ac:dyDescent="0.2">
      <c r="A424" s="31">
        <v>1</v>
      </c>
      <c r="B424" s="32">
        <v>69</v>
      </c>
      <c r="C424" s="33">
        <v>78</v>
      </c>
      <c r="D424" s="33">
        <v>82</v>
      </c>
      <c r="E424" s="33">
        <v>83</v>
      </c>
      <c r="F424" s="33">
        <v>83</v>
      </c>
      <c r="G424" s="33">
        <v>80</v>
      </c>
      <c r="H424" s="33">
        <v>73</v>
      </c>
      <c r="I424" s="33">
        <v>64</v>
      </c>
      <c r="J424" s="33">
        <v>59</v>
      </c>
      <c r="K424" s="33">
        <v>56</v>
      </c>
      <c r="L424" s="33">
        <v>54</v>
      </c>
      <c r="M424" s="33">
        <v>53</v>
      </c>
      <c r="N424" s="33">
        <v>55</v>
      </c>
      <c r="O424" s="33">
        <v>60</v>
      </c>
      <c r="P424" s="33">
        <v>66</v>
      </c>
      <c r="Q424" s="33">
        <v>71</v>
      </c>
      <c r="R424" s="33">
        <v>72</v>
      </c>
      <c r="S424" s="33">
        <v>68</v>
      </c>
      <c r="T424" s="33">
        <v>60</v>
      </c>
      <c r="U424" s="33">
        <v>55</v>
      </c>
      <c r="V424" s="33">
        <v>50</v>
      </c>
      <c r="W424" s="33">
        <v>48</v>
      </c>
      <c r="X424" s="33">
        <v>47</v>
      </c>
      <c r="Y424" s="34">
        <v>48</v>
      </c>
      <c r="Z424" s="35">
        <f t="shared" ref="Z424:Z454" si="33">SUM(B424:Y424)</f>
        <v>1534</v>
      </c>
      <c r="AA424" s="36">
        <f t="shared" ref="AA424:AA454" si="34">AVERAGE(B424:Y424)</f>
        <v>63.916666666666664</v>
      </c>
    </row>
    <row r="425" spans="1:27" ht="14.1" customHeight="1" x14ac:dyDescent="0.2">
      <c r="A425" s="37">
        <v>2</v>
      </c>
      <c r="B425" s="38">
        <v>55</v>
      </c>
      <c r="C425" s="39">
        <v>66</v>
      </c>
      <c r="D425" s="39">
        <v>74</v>
      </c>
      <c r="E425" s="39">
        <v>77</v>
      </c>
      <c r="F425" s="39">
        <v>78</v>
      </c>
      <c r="G425" s="39">
        <v>76</v>
      </c>
      <c r="H425" s="39">
        <v>70</v>
      </c>
      <c r="I425" s="39">
        <v>58</v>
      </c>
      <c r="J425" s="39">
        <v>50</v>
      </c>
      <c r="K425" s="39">
        <v>46</v>
      </c>
      <c r="L425" s="39">
        <v>43</v>
      </c>
      <c r="M425" s="39">
        <v>41</v>
      </c>
      <c r="N425" s="39">
        <v>40</v>
      </c>
      <c r="O425" s="39">
        <v>45</v>
      </c>
      <c r="P425" s="39">
        <v>55</v>
      </c>
      <c r="Q425" s="39">
        <v>66</v>
      </c>
      <c r="R425" s="39">
        <v>71</v>
      </c>
      <c r="S425" s="39">
        <v>73</v>
      </c>
      <c r="T425" s="39">
        <v>70</v>
      </c>
      <c r="U425" s="39">
        <v>62</v>
      </c>
      <c r="V425" s="39">
        <v>51</v>
      </c>
      <c r="W425" s="39">
        <v>47</v>
      </c>
      <c r="X425" s="39">
        <v>44</v>
      </c>
      <c r="Y425" s="40">
        <v>44</v>
      </c>
      <c r="Z425" s="41">
        <f t="shared" si="33"/>
        <v>1402</v>
      </c>
      <c r="AA425" s="42">
        <f t="shared" si="34"/>
        <v>58.416666666666664</v>
      </c>
    </row>
    <row r="426" spans="1:27" ht="14.1" customHeight="1" x14ac:dyDescent="0.2">
      <c r="A426" s="37">
        <v>3</v>
      </c>
      <c r="B426" s="38">
        <v>47</v>
      </c>
      <c r="C426" s="39">
        <v>58</v>
      </c>
      <c r="D426" s="39">
        <v>70</v>
      </c>
      <c r="E426" s="39">
        <v>75</v>
      </c>
      <c r="F426" s="39">
        <v>76</v>
      </c>
      <c r="G426" s="39">
        <v>75</v>
      </c>
      <c r="H426" s="39">
        <v>70</v>
      </c>
      <c r="I426" s="39">
        <v>58</v>
      </c>
      <c r="J426" s="39">
        <v>50</v>
      </c>
      <c r="K426" s="39">
        <v>47</v>
      </c>
      <c r="L426" s="39">
        <v>44</v>
      </c>
      <c r="M426" s="39">
        <v>40</v>
      </c>
      <c r="N426" s="39">
        <v>38</v>
      </c>
      <c r="O426" s="39">
        <v>39</v>
      </c>
      <c r="P426" s="39">
        <v>50</v>
      </c>
      <c r="Q426" s="39">
        <v>64</v>
      </c>
      <c r="R426" s="39">
        <v>73</v>
      </c>
      <c r="S426" s="39">
        <v>76</v>
      </c>
      <c r="T426" s="39">
        <v>77</v>
      </c>
      <c r="U426" s="39">
        <v>76</v>
      </c>
      <c r="V426" s="39">
        <v>70</v>
      </c>
      <c r="W426" s="39">
        <v>59</v>
      </c>
      <c r="X426" s="39">
        <v>52</v>
      </c>
      <c r="Y426" s="40">
        <v>48</v>
      </c>
      <c r="Z426" s="41">
        <f t="shared" si="33"/>
        <v>1432</v>
      </c>
      <c r="AA426" s="42">
        <f t="shared" si="34"/>
        <v>59.666666666666664</v>
      </c>
    </row>
    <row r="427" spans="1:27" ht="14.1" customHeight="1" x14ac:dyDescent="0.2">
      <c r="A427" s="37">
        <v>4</v>
      </c>
      <c r="B427" s="38">
        <v>48</v>
      </c>
      <c r="C427" s="39">
        <v>53</v>
      </c>
      <c r="D427" s="39">
        <v>66</v>
      </c>
      <c r="E427" s="39">
        <v>76</v>
      </c>
      <c r="F427" s="39">
        <v>80</v>
      </c>
      <c r="G427" s="39">
        <v>80</v>
      </c>
      <c r="H427" s="39">
        <v>78</v>
      </c>
      <c r="I427" s="39">
        <v>70</v>
      </c>
      <c r="J427" s="39">
        <v>57</v>
      </c>
      <c r="K427" s="39">
        <v>51</v>
      </c>
      <c r="L427" s="39">
        <v>47</v>
      </c>
      <c r="M427" s="39">
        <v>44</v>
      </c>
      <c r="N427" s="39">
        <v>41</v>
      </c>
      <c r="O427" s="39">
        <v>38</v>
      </c>
      <c r="P427" s="39">
        <v>39</v>
      </c>
      <c r="Q427" s="39">
        <v>51</v>
      </c>
      <c r="R427" s="39">
        <v>66</v>
      </c>
      <c r="S427" s="39">
        <v>76</v>
      </c>
      <c r="T427" s="39">
        <v>79</v>
      </c>
      <c r="U427" s="39">
        <v>81</v>
      </c>
      <c r="V427" s="39">
        <v>81</v>
      </c>
      <c r="W427" s="39">
        <v>78</v>
      </c>
      <c r="X427" s="39">
        <v>76</v>
      </c>
      <c r="Y427" s="40">
        <v>60</v>
      </c>
      <c r="Z427" s="41">
        <f t="shared" si="33"/>
        <v>1516</v>
      </c>
      <c r="AA427" s="42">
        <f t="shared" si="34"/>
        <v>63.166666666666664</v>
      </c>
    </row>
    <row r="428" spans="1:27" ht="14.1" customHeight="1" x14ac:dyDescent="0.2">
      <c r="A428" s="37">
        <v>5</v>
      </c>
      <c r="B428" s="38">
        <v>55</v>
      </c>
      <c r="C428" s="39">
        <v>57</v>
      </c>
      <c r="D428" s="39">
        <v>67</v>
      </c>
      <c r="E428" s="39">
        <v>80</v>
      </c>
      <c r="F428" s="39">
        <v>86</v>
      </c>
      <c r="G428" s="39">
        <v>88</v>
      </c>
      <c r="H428" s="39">
        <v>88</v>
      </c>
      <c r="I428" s="39">
        <v>86</v>
      </c>
      <c r="J428" s="39">
        <v>79</v>
      </c>
      <c r="K428" s="39">
        <v>73</v>
      </c>
      <c r="L428" s="39">
        <v>57</v>
      </c>
      <c r="M428" s="39">
        <v>54</v>
      </c>
      <c r="N428" s="39">
        <v>51</v>
      </c>
      <c r="O428" s="39">
        <v>47</v>
      </c>
      <c r="P428" s="39">
        <v>44</v>
      </c>
      <c r="Q428" s="39">
        <v>49</v>
      </c>
      <c r="R428" s="39">
        <v>63</v>
      </c>
      <c r="S428" s="39">
        <v>78</v>
      </c>
      <c r="T428" s="39">
        <v>85</v>
      </c>
      <c r="U428" s="39">
        <v>88</v>
      </c>
      <c r="V428" s="39">
        <v>89</v>
      </c>
      <c r="W428" s="39">
        <v>89</v>
      </c>
      <c r="X428" s="39">
        <v>87</v>
      </c>
      <c r="Y428" s="40">
        <v>82</v>
      </c>
      <c r="Z428" s="41">
        <f t="shared" si="33"/>
        <v>1722</v>
      </c>
      <c r="AA428" s="42">
        <f t="shared" si="34"/>
        <v>71.75</v>
      </c>
    </row>
    <row r="429" spans="1:27" ht="14.1" customHeight="1" x14ac:dyDescent="0.2">
      <c r="A429" s="37">
        <v>6</v>
      </c>
      <c r="B429" s="38">
        <v>75</v>
      </c>
      <c r="C429" s="39">
        <v>70</v>
      </c>
      <c r="D429" s="39">
        <v>70</v>
      </c>
      <c r="E429" s="39">
        <v>79</v>
      </c>
      <c r="F429" s="39">
        <v>88</v>
      </c>
      <c r="G429" s="39">
        <v>91</v>
      </c>
      <c r="H429" s="39">
        <v>92</v>
      </c>
      <c r="I429" s="39">
        <v>93</v>
      </c>
      <c r="J429" s="39">
        <v>91</v>
      </c>
      <c r="K429" s="39">
        <v>81</v>
      </c>
      <c r="L429" s="39">
        <v>72</v>
      </c>
      <c r="M429" s="39">
        <v>68</v>
      </c>
      <c r="N429" s="39">
        <v>64</v>
      </c>
      <c r="O429" s="39">
        <v>62</v>
      </c>
      <c r="P429" s="39">
        <v>58</v>
      </c>
      <c r="Q429" s="39">
        <v>56</v>
      </c>
      <c r="R429" s="39">
        <v>60</v>
      </c>
      <c r="S429" s="39">
        <v>72</v>
      </c>
      <c r="T429" s="39">
        <v>87</v>
      </c>
      <c r="U429" s="39">
        <v>95</v>
      </c>
      <c r="V429" s="39">
        <v>97</v>
      </c>
      <c r="W429" s="39">
        <v>98</v>
      </c>
      <c r="X429" s="39">
        <v>97</v>
      </c>
      <c r="Y429" s="40">
        <v>96</v>
      </c>
      <c r="Z429" s="41">
        <f t="shared" si="33"/>
        <v>1912</v>
      </c>
      <c r="AA429" s="42">
        <f t="shared" si="34"/>
        <v>79.666666666666671</v>
      </c>
    </row>
    <row r="430" spans="1:27" ht="14.1" customHeight="1" x14ac:dyDescent="0.2">
      <c r="A430" s="37">
        <v>7</v>
      </c>
      <c r="B430" s="38">
        <v>93</v>
      </c>
      <c r="C430" s="39">
        <v>87</v>
      </c>
      <c r="D430" s="39">
        <v>84</v>
      </c>
      <c r="E430" s="39">
        <v>87</v>
      </c>
      <c r="F430" s="39">
        <v>94</v>
      </c>
      <c r="G430" s="39">
        <v>99</v>
      </c>
      <c r="H430" s="39">
        <v>100</v>
      </c>
      <c r="I430" s="39">
        <v>101</v>
      </c>
      <c r="J430" s="39">
        <v>100</v>
      </c>
      <c r="K430" s="39">
        <v>96</v>
      </c>
      <c r="L430" s="39">
        <v>83</v>
      </c>
      <c r="M430" s="39">
        <v>76</v>
      </c>
      <c r="N430" s="39">
        <v>73</v>
      </c>
      <c r="O430" s="39">
        <v>70</v>
      </c>
      <c r="P430" s="39">
        <v>67</v>
      </c>
      <c r="Q430" s="39">
        <v>64</v>
      </c>
      <c r="R430" s="39">
        <v>62</v>
      </c>
      <c r="S430" s="39">
        <v>67</v>
      </c>
      <c r="T430" s="39">
        <v>78</v>
      </c>
      <c r="U430" s="39">
        <v>91</v>
      </c>
      <c r="V430" s="39">
        <v>98</v>
      </c>
      <c r="W430" s="39">
        <v>99</v>
      </c>
      <c r="X430" s="39">
        <v>99</v>
      </c>
      <c r="Y430" s="40">
        <v>98</v>
      </c>
      <c r="Z430" s="41">
        <f t="shared" si="33"/>
        <v>2066</v>
      </c>
      <c r="AA430" s="42">
        <f t="shared" si="34"/>
        <v>86.083333333333329</v>
      </c>
    </row>
    <row r="431" spans="1:27" ht="14.1" customHeight="1" x14ac:dyDescent="0.2">
      <c r="A431" s="37">
        <v>8</v>
      </c>
      <c r="B431" s="38">
        <v>97</v>
      </c>
      <c r="C431" s="39">
        <v>93</v>
      </c>
      <c r="D431" s="39">
        <v>88</v>
      </c>
      <c r="E431" s="39">
        <v>86</v>
      </c>
      <c r="F431" s="39">
        <v>89</v>
      </c>
      <c r="G431" s="39">
        <v>96</v>
      </c>
      <c r="H431" s="39">
        <v>100</v>
      </c>
      <c r="I431" s="39">
        <v>101</v>
      </c>
      <c r="J431" s="39">
        <v>102</v>
      </c>
      <c r="K431" s="39">
        <v>100</v>
      </c>
      <c r="L431" s="39">
        <v>90</v>
      </c>
      <c r="M431" s="39">
        <v>80</v>
      </c>
      <c r="N431" s="39">
        <v>76</v>
      </c>
      <c r="O431" s="39">
        <v>73</v>
      </c>
      <c r="P431" s="39">
        <v>71</v>
      </c>
      <c r="Q431" s="39">
        <v>68</v>
      </c>
      <c r="R431" s="39">
        <v>65</v>
      </c>
      <c r="S431" s="39">
        <v>64</v>
      </c>
      <c r="T431" s="39">
        <v>72</v>
      </c>
      <c r="U431" s="39">
        <v>83</v>
      </c>
      <c r="V431" s="39">
        <v>94</v>
      </c>
      <c r="W431" s="39">
        <v>100</v>
      </c>
      <c r="X431" s="39">
        <v>102</v>
      </c>
      <c r="Y431" s="40">
        <v>101</v>
      </c>
      <c r="Z431" s="41">
        <f t="shared" si="33"/>
        <v>2091</v>
      </c>
      <c r="AA431" s="42">
        <f t="shared" si="34"/>
        <v>87.125</v>
      </c>
    </row>
    <row r="432" spans="1:27" ht="14.1" customHeight="1" x14ac:dyDescent="0.2">
      <c r="A432" s="37">
        <v>9</v>
      </c>
      <c r="B432" s="38">
        <v>100</v>
      </c>
      <c r="C432" s="39">
        <v>97</v>
      </c>
      <c r="D432" s="39">
        <v>93</v>
      </c>
      <c r="E432" s="39">
        <v>88</v>
      </c>
      <c r="F432" s="39">
        <v>88</v>
      </c>
      <c r="G432" s="39">
        <v>92</v>
      </c>
      <c r="H432" s="39">
        <v>99</v>
      </c>
      <c r="I432" s="39">
        <v>103</v>
      </c>
      <c r="J432" s="39">
        <v>103</v>
      </c>
      <c r="K432" s="39">
        <v>103</v>
      </c>
      <c r="L432" s="39">
        <v>101</v>
      </c>
      <c r="M432" s="39">
        <v>91</v>
      </c>
      <c r="N432" s="39">
        <v>80</v>
      </c>
      <c r="O432" s="39">
        <v>75</v>
      </c>
      <c r="P432" s="39">
        <v>72</v>
      </c>
      <c r="Q432" s="39">
        <v>70</v>
      </c>
      <c r="R432" s="39">
        <v>67</v>
      </c>
      <c r="S432" s="39">
        <v>64</v>
      </c>
      <c r="T432" s="39">
        <v>64</v>
      </c>
      <c r="U432" s="39">
        <v>70</v>
      </c>
      <c r="V432" s="39">
        <v>81</v>
      </c>
      <c r="W432" s="39">
        <v>91</v>
      </c>
      <c r="X432" s="39">
        <v>96</v>
      </c>
      <c r="Y432" s="40">
        <v>96</v>
      </c>
      <c r="Z432" s="41">
        <f t="shared" si="33"/>
        <v>2084</v>
      </c>
      <c r="AA432" s="42">
        <f t="shared" si="34"/>
        <v>86.833333333333329</v>
      </c>
    </row>
    <row r="433" spans="1:27" ht="14.1" customHeight="1" x14ac:dyDescent="0.2">
      <c r="A433" s="37">
        <v>10</v>
      </c>
      <c r="B433" s="38">
        <v>96</v>
      </c>
      <c r="C433" s="39">
        <v>95</v>
      </c>
      <c r="D433" s="39">
        <v>91</v>
      </c>
      <c r="E433" s="39">
        <v>86</v>
      </c>
      <c r="F433" s="39">
        <v>82</v>
      </c>
      <c r="G433" s="39">
        <v>81</v>
      </c>
      <c r="H433" s="39">
        <v>83</v>
      </c>
      <c r="I433" s="39">
        <v>90</v>
      </c>
      <c r="J433" s="39">
        <v>95</v>
      </c>
      <c r="K433" s="39">
        <v>97</v>
      </c>
      <c r="L433" s="39">
        <v>95</v>
      </c>
      <c r="M433" s="39">
        <v>90</v>
      </c>
      <c r="N433" s="39">
        <v>80</v>
      </c>
      <c r="O433" s="39">
        <v>73</v>
      </c>
      <c r="P433" s="39">
        <v>70</v>
      </c>
      <c r="Q433" s="39">
        <v>68</v>
      </c>
      <c r="R433" s="39">
        <v>65</v>
      </c>
      <c r="S433" s="39">
        <v>62</v>
      </c>
      <c r="T433" s="39">
        <v>60</v>
      </c>
      <c r="U433" s="39">
        <v>63</v>
      </c>
      <c r="V433" s="39">
        <v>72</v>
      </c>
      <c r="W433" s="39">
        <v>84</v>
      </c>
      <c r="X433" s="39">
        <v>93</v>
      </c>
      <c r="Y433" s="40">
        <v>97</v>
      </c>
      <c r="Z433" s="41">
        <f t="shared" si="33"/>
        <v>1968</v>
      </c>
      <c r="AA433" s="42">
        <f t="shared" si="34"/>
        <v>82</v>
      </c>
    </row>
    <row r="434" spans="1:27" ht="14.1" customHeight="1" x14ac:dyDescent="0.2">
      <c r="A434" s="37">
        <v>11</v>
      </c>
      <c r="B434" s="38">
        <v>98</v>
      </c>
      <c r="C434" s="39">
        <v>97</v>
      </c>
      <c r="D434" s="39">
        <v>94</v>
      </c>
      <c r="E434" s="39">
        <v>90</v>
      </c>
      <c r="F434" s="39">
        <v>82</v>
      </c>
      <c r="G434" s="39">
        <v>78</v>
      </c>
      <c r="H434" s="39">
        <v>77</v>
      </c>
      <c r="I434" s="39">
        <v>78</v>
      </c>
      <c r="J434" s="39">
        <v>81</v>
      </c>
      <c r="K434" s="39">
        <v>87</v>
      </c>
      <c r="L434" s="39">
        <v>92</v>
      </c>
      <c r="M434" s="39">
        <v>93</v>
      </c>
      <c r="N434" s="39">
        <v>89</v>
      </c>
      <c r="O434" s="39">
        <v>80</v>
      </c>
      <c r="P434" s="39">
        <v>73</v>
      </c>
      <c r="Q434" s="39">
        <v>69</v>
      </c>
      <c r="R434" s="39">
        <v>66</v>
      </c>
      <c r="S434" s="39">
        <v>64</v>
      </c>
      <c r="T434" s="39">
        <v>61</v>
      </c>
      <c r="U434" s="39">
        <v>61</v>
      </c>
      <c r="V434" s="39">
        <v>65</v>
      </c>
      <c r="W434" s="39">
        <v>76</v>
      </c>
      <c r="X434" s="39">
        <v>86</v>
      </c>
      <c r="Y434" s="40">
        <v>94</v>
      </c>
      <c r="Z434" s="41">
        <f t="shared" si="33"/>
        <v>1931</v>
      </c>
      <c r="AA434" s="42">
        <f t="shared" si="34"/>
        <v>80.458333333333329</v>
      </c>
    </row>
    <row r="435" spans="1:27" ht="14.1" customHeight="1" x14ac:dyDescent="0.2">
      <c r="A435" s="37">
        <v>12</v>
      </c>
      <c r="B435" s="38">
        <v>96</v>
      </c>
      <c r="C435" s="39">
        <v>96</v>
      </c>
      <c r="D435" s="39">
        <v>96</v>
      </c>
      <c r="E435" s="39">
        <v>94</v>
      </c>
      <c r="F435" s="39">
        <v>89</v>
      </c>
      <c r="G435" s="39">
        <v>81</v>
      </c>
      <c r="H435" s="39">
        <v>75</v>
      </c>
      <c r="I435" s="39">
        <v>73</v>
      </c>
      <c r="J435" s="39">
        <v>72</v>
      </c>
      <c r="K435" s="39">
        <v>75</v>
      </c>
      <c r="L435" s="39">
        <v>78</v>
      </c>
      <c r="M435" s="39">
        <v>81</v>
      </c>
      <c r="N435" s="39">
        <v>81</v>
      </c>
      <c r="O435" s="39">
        <v>77</v>
      </c>
      <c r="P435" s="39">
        <v>72</v>
      </c>
      <c r="Q435" s="39">
        <v>65</v>
      </c>
      <c r="R435" s="39">
        <v>62</v>
      </c>
      <c r="S435" s="39">
        <v>59</v>
      </c>
      <c r="T435" s="39">
        <v>57</v>
      </c>
      <c r="U435" s="39">
        <v>54</v>
      </c>
      <c r="V435" s="39">
        <v>54</v>
      </c>
      <c r="W435" s="39">
        <v>59</v>
      </c>
      <c r="X435" s="39">
        <v>70</v>
      </c>
      <c r="Y435" s="40">
        <v>80</v>
      </c>
      <c r="Z435" s="41">
        <f t="shared" si="33"/>
        <v>1796</v>
      </c>
      <c r="AA435" s="42">
        <f t="shared" si="34"/>
        <v>74.833333333333329</v>
      </c>
    </row>
    <row r="436" spans="1:27" ht="14.1" customHeight="1" x14ac:dyDescent="0.2">
      <c r="A436" s="37">
        <v>13</v>
      </c>
      <c r="B436" s="38">
        <v>85</v>
      </c>
      <c r="C436" s="39">
        <v>87</v>
      </c>
      <c r="D436" s="39">
        <v>88</v>
      </c>
      <c r="E436" s="39">
        <v>88</v>
      </c>
      <c r="F436" s="39">
        <v>85</v>
      </c>
      <c r="G436" s="39">
        <v>78</v>
      </c>
      <c r="H436" s="39">
        <v>68</v>
      </c>
      <c r="I436" s="39">
        <v>63</v>
      </c>
      <c r="J436" s="39">
        <v>60</v>
      </c>
      <c r="K436" s="39">
        <v>59</v>
      </c>
      <c r="L436" s="39">
        <v>60</v>
      </c>
      <c r="M436" s="39">
        <v>65</v>
      </c>
      <c r="N436" s="39">
        <v>68</v>
      </c>
      <c r="O436" s="39">
        <v>70</v>
      </c>
      <c r="P436" s="39">
        <v>68</v>
      </c>
      <c r="Q436" s="39">
        <v>64</v>
      </c>
      <c r="R436" s="39">
        <v>59</v>
      </c>
      <c r="S436" s="39">
        <v>55</v>
      </c>
      <c r="T436" s="39">
        <v>52</v>
      </c>
      <c r="U436" s="39">
        <v>50</v>
      </c>
      <c r="V436" s="39">
        <v>48</v>
      </c>
      <c r="W436" s="39">
        <v>49</v>
      </c>
      <c r="X436" s="39">
        <v>55</v>
      </c>
      <c r="Y436" s="40">
        <v>66</v>
      </c>
      <c r="Z436" s="41">
        <f t="shared" si="33"/>
        <v>1590</v>
      </c>
      <c r="AA436" s="42">
        <f t="shared" si="34"/>
        <v>66.25</v>
      </c>
    </row>
    <row r="437" spans="1:27" ht="14.1" customHeight="1" x14ac:dyDescent="0.2">
      <c r="A437" s="37">
        <v>14</v>
      </c>
      <c r="B437" s="38">
        <v>75</v>
      </c>
      <c r="C437" s="39">
        <v>79</v>
      </c>
      <c r="D437" s="39">
        <v>81</v>
      </c>
      <c r="E437" s="39">
        <v>82</v>
      </c>
      <c r="F437" s="39">
        <v>82</v>
      </c>
      <c r="G437" s="39">
        <v>77</v>
      </c>
      <c r="H437" s="39">
        <v>66</v>
      </c>
      <c r="I437" s="39">
        <v>57</v>
      </c>
      <c r="J437" s="39">
        <v>51</v>
      </c>
      <c r="K437" s="39">
        <v>49</v>
      </c>
      <c r="L437" s="39">
        <v>48</v>
      </c>
      <c r="M437" s="39">
        <v>48</v>
      </c>
      <c r="N437" s="39">
        <v>52</v>
      </c>
      <c r="O437" s="39">
        <v>56</v>
      </c>
      <c r="P437" s="39">
        <v>60</v>
      </c>
      <c r="Q437" s="39">
        <v>61</v>
      </c>
      <c r="R437" s="39">
        <v>60</v>
      </c>
      <c r="S437" s="39">
        <v>56</v>
      </c>
      <c r="T437" s="39">
        <v>53</v>
      </c>
      <c r="U437" s="39">
        <v>50</v>
      </c>
      <c r="V437" s="39">
        <v>48</v>
      </c>
      <c r="W437" s="39">
        <v>47</v>
      </c>
      <c r="X437" s="39">
        <v>48</v>
      </c>
      <c r="Y437" s="40">
        <v>53</v>
      </c>
      <c r="Z437" s="41">
        <f t="shared" si="33"/>
        <v>1439</v>
      </c>
      <c r="AA437" s="42">
        <f t="shared" si="34"/>
        <v>59.958333333333336</v>
      </c>
    </row>
    <row r="438" spans="1:27" ht="14.1" customHeight="1" x14ac:dyDescent="0.2">
      <c r="A438" s="37">
        <v>15</v>
      </c>
      <c r="B438" s="38">
        <v>62</v>
      </c>
      <c r="C438" s="39">
        <v>70</v>
      </c>
      <c r="D438" s="39">
        <v>74</v>
      </c>
      <c r="E438" s="39">
        <v>77</v>
      </c>
      <c r="F438" s="39">
        <v>77</v>
      </c>
      <c r="G438" s="39">
        <v>73</v>
      </c>
      <c r="H438" s="39">
        <v>63</v>
      </c>
      <c r="I438" s="39">
        <v>53</v>
      </c>
      <c r="J438" s="39">
        <v>48</v>
      </c>
      <c r="K438" s="39">
        <v>45</v>
      </c>
      <c r="L438" s="39">
        <v>42</v>
      </c>
      <c r="M438" s="39">
        <v>41</v>
      </c>
      <c r="N438" s="39">
        <v>42</v>
      </c>
      <c r="O438" s="39">
        <v>46</v>
      </c>
      <c r="P438" s="39">
        <v>52</v>
      </c>
      <c r="Q438" s="39">
        <v>60</v>
      </c>
      <c r="R438" s="39">
        <v>65</v>
      </c>
      <c r="S438" s="39">
        <v>67</v>
      </c>
      <c r="T438" s="39">
        <v>66</v>
      </c>
      <c r="U438" s="39">
        <v>62</v>
      </c>
      <c r="V438" s="39">
        <v>55</v>
      </c>
      <c r="W438" s="39">
        <v>52</v>
      </c>
      <c r="X438" s="39">
        <v>50</v>
      </c>
      <c r="Y438" s="40">
        <v>51</v>
      </c>
      <c r="Z438" s="41">
        <f t="shared" si="33"/>
        <v>1393</v>
      </c>
      <c r="AA438" s="42">
        <f t="shared" si="34"/>
        <v>58.041666666666664</v>
      </c>
    </row>
    <row r="439" spans="1:27" ht="14.1" customHeight="1" x14ac:dyDescent="0.2">
      <c r="A439" s="37">
        <v>16</v>
      </c>
      <c r="B439" s="38">
        <v>58</v>
      </c>
      <c r="C439" s="39">
        <v>68</v>
      </c>
      <c r="D439" s="39">
        <v>75</v>
      </c>
      <c r="E439" s="39">
        <v>78</v>
      </c>
      <c r="F439" s="39">
        <v>79</v>
      </c>
      <c r="G439" s="39">
        <v>78</v>
      </c>
      <c r="H439" s="39">
        <v>71</v>
      </c>
      <c r="I439" s="39">
        <v>57</v>
      </c>
      <c r="J439" s="39">
        <v>50</v>
      </c>
      <c r="K439" s="39">
        <v>46</v>
      </c>
      <c r="L439" s="39">
        <v>43</v>
      </c>
      <c r="M439" s="39">
        <v>39</v>
      </c>
      <c r="N439" s="39">
        <v>38</v>
      </c>
      <c r="O439" s="39">
        <v>40</v>
      </c>
      <c r="P439" s="39">
        <v>48</v>
      </c>
      <c r="Q439" s="39">
        <v>59</v>
      </c>
      <c r="R439" s="39">
        <v>69</v>
      </c>
      <c r="S439" s="39">
        <v>75</v>
      </c>
      <c r="T439" s="39">
        <v>77</v>
      </c>
      <c r="U439" s="39">
        <v>76</v>
      </c>
      <c r="V439" s="39">
        <v>74</v>
      </c>
      <c r="W439" s="39">
        <v>67</v>
      </c>
      <c r="X439" s="39">
        <v>59</v>
      </c>
      <c r="Y439" s="40">
        <v>56</v>
      </c>
      <c r="Z439" s="41">
        <f t="shared" si="33"/>
        <v>1480</v>
      </c>
      <c r="AA439" s="42">
        <f t="shared" si="34"/>
        <v>61.666666666666664</v>
      </c>
    </row>
    <row r="440" spans="1:27" ht="14.1" customHeight="1" x14ac:dyDescent="0.2">
      <c r="A440" s="37">
        <v>17</v>
      </c>
      <c r="B440" s="38">
        <v>59</v>
      </c>
      <c r="C440" s="39">
        <v>67</v>
      </c>
      <c r="D440" s="39">
        <v>76</v>
      </c>
      <c r="E440" s="39">
        <v>80</v>
      </c>
      <c r="F440" s="39">
        <v>83</v>
      </c>
      <c r="G440" s="39">
        <v>83</v>
      </c>
      <c r="H440" s="39">
        <v>79</v>
      </c>
      <c r="I440" s="39">
        <v>66</v>
      </c>
      <c r="J440" s="39">
        <v>56</v>
      </c>
      <c r="K440" s="39">
        <v>51</v>
      </c>
      <c r="L440" s="39">
        <v>47</v>
      </c>
      <c r="M440" s="39">
        <v>43</v>
      </c>
      <c r="N440" s="39">
        <v>39</v>
      </c>
      <c r="O440" s="39">
        <v>38</v>
      </c>
      <c r="P440" s="39">
        <v>42</v>
      </c>
      <c r="Q440" s="39">
        <v>54</v>
      </c>
      <c r="R440" s="39">
        <v>67</v>
      </c>
      <c r="S440" s="39">
        <v>75</v>
      </c>
      <c r="T440" s="39">
        <v>79</v>
      </c>
      <c r="U440" s="39">
        <v>82</v>
      </c>
      <c r="V440" s="39">
        <v>83</v>
      </c>
      <c r="W440" s="39">
        <v>81</v>
      </c>
      <c r="X440" s="39">
        <v>75</v>
      </c>
      <c r="Y440" s="40">
        <v>70</v>
      </c>
      <c r="Z440" s="41">
        <f t="shared" si="33"/>
        <v>1575</v>
      </c>
      <c r="AA440" s="42">
        <f t="shared" si="34"/>
        <v>65.625</v>
      </c>
    </row>
    <row r="441" spans="1:27" ht="14.1" customHeight="1" x14ac:dyDescent="0.2">
      <c r="A441" s="37">
        <v>18</v>
      </c>
      <c r="B441" s="38">
        <v>68</v>
      </c>
      <c r="C441" s="39">
        <v>70</v>
      </c>
      <c r="D441" s="39">
        <v>79</v>
      </c>
      <c r="E441" s="39">
        <v>85</v>
      </c>
      <c r="F441" s="39">
        <v>89</v>
      </c>
      <c r="G441" s="39">
        <v>90</v>
      </c>
      <c r="H441" s="39">
        <v>89</v>
      </c>
      <c r="I441" s="39">
        <v>78</v>
      </c>
      <c r="J441" s="39">
        <v>64</v>
      </c>
      <c r="K441" s="39">
        <v>56</v>
      </c>
      <c r="L441" s="39">
        <v>51</v>
      </c>
      <c r="M441" s="39">
        <v>47</v>
      </c>
      <c r="N441" s="39">
        <v>43</v>
      </c>
      <c r="O441" s="39">
        <v>39</v>
      </c>
      <c r="P441" s="39">
        <v>39</v>
      </c>
      <c r="Q441" s="39">
        <v>44</v>
      </c>
      <c r="R441" s="39">
        <v>57</v>
      </c>
      <c r="S441" s="39">
        <v>70</v>
      </c>
      <c r="T441" s="39">
        <v>78</v>
      </c>
      <c r="U441" s="39">
        <v>82</v>
      </c>
      <c r="V441" s="39">
        <v>82</v>
      </c>
      <c r="W441" s="39">
        <v>82</v>
      </c>
      <c r="X441" s="39">
        <v>79</v>
      </c>
      <c r="Y441" s="40">
        <v>72</v>
      </c>
      <c r="Z441" s="41">
        <f t="shared" si="33"/>
        <v>1633</v>
      </c>
      <c r="AA441" s="42">
        <f t="shared" si="34"/>
        <v>68.041666666666671</v>
      </c>
    </row>
    <row r="442" spans="1:27" ht="14.1" customHeight="1" x14ac:dyDescent="0.2">
      <c r="A442" s="37">
        <v>19</v>
      </c>
      <c r="B442" s="38">
        <v>67</v>
      </c>
      <c r="C442" s="39">
        <v>66</v>
      </c>
      <c r="D442" s="39">
        <v>72</v>
      </c>
      <c r="E442" s="39">
        <v>80</v>
      </c>
      <c r="F442" s="39">
        <v>85</v>
      </c>
      <c r="G442" s="39">
        <v>88</v>
      </c>
      <c r="H442" s="39">
        <v>89</v>
      </c>
      <c r="I442" s="39">
        <v>83</v>
      </c>
      <c r="J442" s="39">
        <v>68</v>
      </c>
      <c r="K442" s="39">
        <v>57</v>
      </c>
      <c r="L442" s="39">
        <v>51</v>
      </c>
      <c r="M442" s="39">
        <v>47</v>
      </c>
      <c r="N442" s="39">
        <v>42</v>
      </c>
      <c r="O442" s="39">
        <v>37</v>
      </c>
      <c r="P442" s="39">
        <v>33</v>
      </c>
      <c r="Q442" s="39">
        <v>36</v>
      </c>
      <c r="R442" s="39">
        <v>48</v>
      </c>
      <c r="S442" s="39">
        <v>63</v>
      </c>
      <c r="T442" s="39">
        <v>74</v>
      </c>
      <c r="U442" s="39">
        <v>79</v>
      </c>
      <c r="V442" s="39">
        <v>83</v>
      </c>
      <c r="W442" s="39">
        <v>83</v>
      </c>
      <c r="X442" s="39">
        <v>81</v>
      </c>
      <c r="Y442" s="40">
        <v>74</v>
      </c>
      <c r="Z442" s="41">
        <f t="shared" si="33"/>
        <v>1586</v>
      </c>
      <c r="AA442" s="42">
        <f t="shared" si="34"/>
        <v>66.083333333333329</v>
      </c>
    </row>
    <row r="443" spans="1:27" ht="14.1" customHeight="1" x14ac:dyDescent="0.2">
      <c r="A443" s="37">
        <v>20</v>
      </c>
      <c r="B443" s="38">
        <v>66</v>
      </c>
      <c r="C443" s="39">
        <v>63</v>
      </c>
      <c r="D443" s="39">
        <v>67</v>
      </c>
      <c r="E443" s="39">
        <v>77</v>
      </c>
      <c r="F443" s="39">
        <v>85</v>
      </c>
      <c r="G443" s="39">
        <v>89</v>
      </c>
      <c r="H443" s="39">
        <v>91</v>
      </c>
      <c r="I443" s="39">
        <v>90</v>
      </c>
      <c r="J443" s="39">
        <v>79</v>
      </c>
      <c r="K443" s="39">
        <v>63</v>
      </c>
      <c r="L443" s="39">
        <v>55</v>
      </c>
      <c r="M443" s="39">
        <v>50</v>
      </c>
      <c r="N443" s="39">
        <v>45</v>
      </c>
      <c r="O443" s="39">
        <v>40</v>
      </c>
      <c r="P443" s="39">
        <v>35</v>
      </c>
      <c r="Q443" s="39">
        <v>32</v>
      </c>
      <c r="R443" s="39">
        <v>40</v>
      </c>
      <c r="S443" s="39">
        <v>56</v>
      </c>
      <c r="T443" s="39">
        <v>71</v>
      </c>
      <c r="U443" s="39">
        <v>79</v>
      </c>
      <c r="V443" s="39">
        <v>83</v>
      </c>
      <c r="W443" s="39">
        <v>85</v>
      </c>
      <c r="X443" s="39">
        <v>84</v>
      </c>
      <c r="Y443" s="40">
        <v>80</v>
      </c>
      <c r="Z443" s="41">
        <f t="shared" si="33"/>
        <v>1605</v>
      </c>
      <c r="AA443" s="42">
        <f t="shared" si="34"/>
        <v>66.875</v>
      </c>
    </row>
    <row r="444" spans="1:27" ht="14.1" customHeight="1" x14ac:dyDescent="0.2">
      <c r="A444" s="37">
        <v>21</v>
      </c>
      <c r="B444" s="38">
        <v>71</v>
      </c>
      <c r="C444" s="39">
        <v>64</v>
      </c>
      <c r="D444" s="39">
        <v>64</v>
      </c>
      <c r="E444" s="39">
        <v>71</v>
      </c>
      <c r="F444" s="39">
        <v>81</v>
      </c>
      <c r="G444" s="39">
        <v>88</v>
      </c>
      <c r="H444" s="39">
        <v>91</v>
      </c>
      <c r="I444" s="39">
        <v>92</v>
      </c>
      <c r="J444" s="39">
        <v>88</v>
      </c>
      <c r="K444" s="39">
        <v>72</v>
      </c>
      <c r="L444" s="39">
        <v>60</v>
      </c>
      <c r="M444" s="39">
        <v>54</v>
      </c>
      <c r="N444" s="39">
        <v>49</v>
      </c>
      <c r="O444" s="39">
        <v>43</v>
      </c>
      <c r="P444" s="39">
        <v>38</v>
      </c>
      <c r="Q444" s="39">
        <v>32</v>
      </c>
      <c r="R444" s="39">
        <v>34</v>
      </c>
      <c r="S444" s="39">
        <v>47</v>
      </c>
      <c r="T444" s="39">
        <v>64</v>
      </c>
      <c r="U444" s="39">
        <v>76</v>
      </c>
      <c r="V444" s="39">
        <v>82</v>
      </c>
      <c r="W444" s="39">
        <v>86</v>
      </c>
      <c r="X444" s="39">
        <v>88</v>
      </c>
      <c r="Y444" s="40">
        <v>87</v>
      </c>
      <c r="Z444" s="41">
        <f t="shared" si="33"/>
        <v>1622</v>
      </c>
      <c r="AA444" s="42">
        <f t="shared" si="34"/>
        <v>67.583333333333329</v>
      </c>
    </row>
    <row r="445" spans="1:27" ht="14.1" customHeight="1" x14ac:dyDescent="0.2">
      <c r="A445" s="37">
        <v>22</v>
      </c>
      <c r="B445" s="38">
        <v>81</v>
      </c>
      <c r="C445" s="39">
        <v>72</v>
      </c>
      <c r="D445" s="39">
        <v>66</v>
      </c>
      <c r="E445" s="39">
        <v>66</v>
      </c>
      <c r="F445" s="39">
        <v>75</v>
      </c>
      <c r="G445" s="39">
        <v>86</v>
      </c>
      <c r="H445" s="39">
        <v>92</v>
      </c>
      <c r="I445" s="39">
        <v>94</v>
      </c>
      <c r="J445" s="39">
        <v>93</v>
      </c>
      <c r="K445" s="39">
        <v>82</v>
      </c>
      <c r="L445" s="39">
        <v>65</v>
      </c>
      <c r="M445" s="39">
        <v>57</v>
      </c>
      <c r="N445" s="39">
        <v>51</v>
      </c>
      <c r="O445" s="39">
        <v>46</v>
      </c>
      <c r="P445" s="39">
        <v>40</v>
      </c>
      <c r="Q445" s="39">
        <v>35</v>
      </c>
      <c r="R445" s="39">
        <v>32</v>
      </c>
      <c r="S445" s="39">
        <v>40</v>
      </c>
      <c r="T445" s="39">
        <v>57</v>
      </c>
      <c r="U445" s="39">
        <v>73</v>
      </c>
      <c r="V445" s="39">
        <v>82</v>
      </c>
      <c r="W445" s="39">
        <v>86</v>
      </c>
      <c r="X445" s="39">
        <v>89</v>
      </c>
      <c r="Y445" s="40">
        <v>90</v>
      </c>
      <c r="Z445" s="41">
        <f t="shared" si="33"/>
        <v>1650</v>
      </c>
      <c r="AA445" s="42">
        <f t="shared" si="34"/>
        <v>68.75</v>
      </c>
    </row>
    <row r="446" spans="1:27" ht="14.1" customHeight="1" x14ac:dyDescent="0.2">
      <c r="A446" s="37">
        <v>23</v>
      </c>
      <c r="B446" s="38">
        <v>87</v>
      </c>
      <c r="C446" s="39">
        <v>78</v>
      </c>
      <c r="D446" s="39">
        <v>70</v>
      </c>
      <c r="E446" s="39">
        <v>67</v>
      </c>
      <c r="F446" s="39">
        <v>72</v>
      </c>
      <c r="G446" s="39">
        <v>83</v>
      </c>
      <c r="H446" s="39">
        <v>91</v>
      </c>
      <c r="I446" s="39">
        <v>94</v>
      </c>
      <c r="J446" s="39">
        <v>95</v>
      </c>
      <c r="K446" s="39">
        <v>90</v>
      </c>
      <c r="L446" s="39">
        <v>75</v>
      </c>
      <c r="M446" s="39">
        <v>61</v>
      </c>
      <c r="N446" s="39">
        <v>54</v>
      </c>
      <c r="O446" s="39">
        <v>49</v>
      </c>
      <c r="P446" s="39">
        <v>43</v>
      </c>
      <c r="Q446" s="39">
        <v>38</v>
      </c>
      <c r="R446" s="39">
        <v>33</v>
      </c>
      <c r="S446" s="39">
        <v>32</v>
      </c>
      <c r="T446" s="39">
        <v>43</v>
      </c>
      <c r="U446" s="39">
        <v>61</v>
      </c>
      <c r="V446" s="39">
        <v>74</v>
      </c>
      <c r="W446" s="39">
        <v>80</v>
      </c>
      <c r="X446" s="39">
        <v>84</v>
      </c>
      <c r="Y446" s="40">
        <v>86</v>
      </c>
      <c r="Z446" s="41">
        <f t="shared" si="33"/>
        <v>1640</v>
      </c>
      <c r="AA446" s="42">
        <f t="shared" si="34"/>
        <v>68.333333333333329</v>
      </c>
    </row>
    <row r="447" spans="1:27" ht="14.1" customHeight="1" x14ac:dyDescent="0.2">
      <c r="A447" s="43">
        <v>24</v>
      </c>
      <c r="B447" s="38">
        <v>85</v>
      </c>
      <c r="C447" s="39">
        <v>78</v>
      </c>
      <c r="D447" s="39">
        <v>66</v>
      </c>
      <c r="E447" s="39">
        <v>61</v>
      </c>
      <c r="F447" s="39">
        <v>59</v>
      </c>
      <c r="G447" s="39">
        <v>63</v>
      </c>
      <c r="H447" s="39">
        <v>75</v>
      </c>
      <c r="I447" s="39">
        <v>85</v>
      </c>
      <c r="J447" s="39">
        <v>88</v>
      </c>
      <c r="K447" s="39">
        <v>87</v>
      </c>
      <c r="L447" s="39">
        <v>78</v>
      </c>
      <c r="M447" s="39">
        <v>61</v>
      </c>
      <c r="N447" s="39">
        <v>52</v>
      </c>
      <c r="O447" s="39">
        <v>46</v>
      </c>
      <c r="P447" s="39">
        <v>41</v>
      </c>
      <c r="Q447" s="39">
        <v>35</v>
      </c>
      <c r="R447" s="39">
        <v>30</v>
      </c>
      <c r="S447" s="39">
        <v>26</v>
      </c>
      <c r="T447" s="39">
        <v>34</v>
      </c>
      <c r="U447" s="39">
        <v>51</v>
      </c>
      <c r="V447" s="39">
        <v>66</v>
      </c>
      <c r="W447" s="39">
        <v>74</v>
      </c>
      <c r="X447" s="39">
        <v>78</v>
      </c>
      <c r="Y447" s="40">
        <v>81</v>
      </c>
      <c r="Z447" s="41">
        <f t="shared" si="33"/>
        <v>1500</v>
      </c>
      <c r="AA447" s="42">
        <f t="shared" si="34"/>
        <v>62.5</v>
      </c>
    </row>
    <row r="448" spans="1:27" ht="14.1" customHeight="1" x14ac:dyDescent="0.2">
      <c r="A448" s="37">
        <v>25</v>
      </c>
      <c r="B448" s="38">
        <v>81</v>
      </c>
      <c r="C448" s="39">
        <v>76</v>
      </c>
      <c r="D448" s="39">
        <v>66</v>
      </c>
      <c r="E448" s="39">
        <v>58</v>
      </c>
      <c r="F448" s="39">
        <v>55</v>
      </c>
      <c r="G448" s="39">
        <v>57</v>
      </c>
      <c r="H448" s="39">
        <v>66</v>
      </c>
      <c r="I448" s="39">
        <v>77</v>
      </c>
      <c r="J448" s="39">
        <v>82</v>
      </c>
      <c r="K448" s="39">
        <v>84</v>
      </c>
      <c r="L448" s="39">
        <v>81</v>
      </c>
      <c r="M448" s="39">
        <v>69</v>
      </c>
      <c r="N448" s="39">
        <v>56</v>
      </c>
      <c r="O448" s="39">
        <v>48</v>
      </c>
      <c r="P448" s="39">
        <v>42</v>
      </c>
      <c r="Q448" s="39">
        <v>36</v>
      </c>
      <c r="R448" s="39">
        <v>32</v>
      </c>
      <c r="S448" s="39">
        <v>28</v>
      </c>
      <c r="T448" s="39">
        <v>30</v>
      </c>
      <c r="U448" s="39">
        <v>43</v>
      </c>
      <c r="V448" s="39">
        <v>61</v>
      </c>
      <c r="W448" s="39">
        <v>72</v>
      </c>
      <c r="X448" s="39">
        <v>77</v>
      </c>
      <c r="Y448" s="40">
        <v>81</v>
      </c>
      <c r="Z448" s="41">
        <f t="shared" si="33"/>
        <v>1458</v>
      </c>
      <c r="AA448" s="42">
        <f t="shared" si="34"/>
        <v>60.75</v>
      </c>
    </row>
    <row r="449" spans="1:27" ht="14.1" customHeight="1" x14ac:dyDescent="0.2">
      <c r="A449" s="37">
        <v>26</v>
      </c>
      <c r="B449" s="38">
        <v>84</v>
      </c>
      <c r="C449" s="39">
        <v>84</v>
      </c>
      <c r="D449" s="39">
        <v>79</v>
      </c>
      <c r="E449" s="39">
        <v>70</v>
      </c>
      <c r="F449" s="39">
        <v>62</v>
      </c>
      <c r="G449" s="39">
        <v>59</v>
      </c>
      <c r="H449" s="39">
        <v>61</v>
      </c>
      <c r="I449" s="39">
        <v>71</v>
      </c>
      <c r="J449" s="39">
        <v>80</v>
      </c>
      <c r="K449" s="39">
        <v>86</v>
      </c>
      <c r="L449" s="39">
        <v>88</v>
      </c>
      <c r="M449" s="39">
        <v>85</v>
      </c>
      <c r="N449" s="39">
        <v>73</v>
      </c>
      <c r="O449" s="39">
        <v>60</v>
      </c>
      <c r="P449" s="39">
        <v>53</v>
      </c>
      <c r="Q449" s="39">
        <v>47</v>
      </c>
      <c r="R449" s="39">
        <v>42</v>
      </c>
      <c r="S449" s="39">
        <v>37</v>
      </c>
      <c r="T449" s="39">
        <v>34</v>
      </c>
      <c r="U449" s="39">
        <v>38</v>
      </c>
      <c r="V449" s="39">
        <v>55</v>
      </c>
      <c r="W449" s="39">
        <v>71</v>
      </c>
      <c r="X449" s="39">
        <v>79</v>
      </c>
      <c r="Y449" s="40">
        <v>84</v>
      </c>
      <c r="Z449" s="41">
        <f t="shared" si="33"/>
        <v>1582</v>
      </c>
      <c r="AA449" s="42">
        <f t="shared" si="34"/>
        <v>65.916666666666671</v>
      </c>
    </row>
    <row r="450" spans="1:27" ht="14.1" customHeight="1" x14ac:dyDescent="0.2">
      <c r="A450" s="37">
        <v>27</v>
      </c>
      <c r="B450" s="38">
        <v>88</v>
      </c>
      <c r="C450" s="39">
        <v>91</v>
      </c>
      <c r="D450" s="39">
        <v>90</v>
      </c>
      <c r="E450" s="39">
        <v>84</v>
      </c>
      <c r="F450" s="39">
        <v>72</v>
      </c>
      <c r="G450" s="39">
        <v>64</v>
      </c>
      <c r="H450" s="39">
        <v>61</v>
      </c>
      <c r="I450" s="39">
        <v>61</v>
      </c>
      <c r="J450" s="39">
        <v>70</v>
      </c>
      <c r="K450" s="39">
        <v>82</v>
      </c>
      <c r="L450" s="39">
        <v>86</v>
      </c>
      <c r="M450" s="39">
        <v>87</v>
      </c>
      <c r="N450" s="39">
        <v>81</v>
      </c>
      <c r="O450" s="39">
        <v>68</v>
      </c>
      <c r="P450" s="39">
        <v>57</v>
      </c>
      <c r="Q450" s="39">
        <v>50</v>
      </c>
      <c r="R450" s="39">
        <v>45</v>
      </c>
      <c r="S450" s="39">
        <v>40</v>
      </c>
      <c r="T450" s="39">
        <v>36</v>
      </c>
      <c r="U450" s="39">
        <v>35</v>
      </c>
      <c r="V450" s="39">
        <v>44</v>
      </c>
      <c r="W450" s="39">
        <v>60</v>
      </c>
      <c r="X450" s="39">
        <v>73</v>
      </c>
      <c r="Y450" s="40">
        <v>80</v>
      </c>
      <c r="Z450" s="41">
        <f t="shared" si="33"/>
        <v>1605</v>
      </c>
      <c r="AA450" s="42">
        <f t="shared" si="34"/>
        <v>66.875</v>
      </c>
    </row>
    <row r="451" spans="1:27" ht="14.1" customHeight="1" x14ac:dyDescent="0.2">
      <c r="A451" s="37">
        <v>28</v>
      </c>
      <c r="B451" s="38">
        <v>85</v>
      </c>
      <c r="C451" s="39">
        <v>88</v>
      </c>
      <c r="D451" s="39">
        <v>90</v>
      </c>
      <c r="E451" s="39">
        <v>88</v>
      </c>
      <c r="F451" s="39">
        <v>76</v>
      </c>
      <c r="G451" s="39">
        <v>64</v>
      </c>
      <c r="H451" s="39">
        <v>57</v>
      </c>
      <c r="I451" s="39">
        <v>53</v>
      </c>
      <c r="J451" s="39">
        <v>49</v>
      </c>
      <c r="K451" s="39">
        <v>52</v>
      </c>
      <c r="L451" s="39">
        <v>59</v>
      </c>
      <c r="M451" s="39">
        <v>67</v>
      </c>
      <c r="N451" s="39">
        <v>70</v>
      </c>
      <c r="O451" s="39">
        <v>67</v>
      </c>
      <c r="P451" s="39">
        <v>56</v>
      </c>
      <c r="Q451" s="39">
        <v>47</v>
      </c>
      <c r="R451" s="39">
        <v>40</v>
      </c>
      <c r="S451" s="39">
        <v>34</v>
      </c>
      <c r="T451" s="39">
        <v>30</v>
      </c>
      <c r="U451" s="39">
        <v>27</v>
      </c>
      <c r="V451" s="39">
        <v>31</v>
      </c>
      <c r="W451" s="39">
        <v>46</v>
      </c>
      <c r="X451" s="39">
        <v>62</v>
      </c>
      <c r="Y451" s="40">
        <v>70</v>
      </c>
      <c r="Z451" s="41">
        <f t="shared" si="33"/>
        <v>1408</v>
      </c>
      <c r="AA451" s="42">
        <f t="shared" si="34"/>
        <v>58.666666666666664</v>
      </c>
    </row>
    <row r="452" spans="1:27" ht="14.1" customHeight="1" x14ac:dyDescent="0.2">
      <c r="A452" s="37">
        <v>29</v>
      </c>
      <c r="B452" s="38">
        <v>76</v>
      </c>
      <c r="C452" s="39">
        <v>81</v>
      </c>
      <c r="D452" s="39">
        <v>84</v>
      </c>
      <c r="E452" s="39">
        <v>84</v>
      </c>
      <c r="F452" s="39">
        <v>76</v>
      </c>
      <c r="G452" s="39">
        <v>61</v>
      </c>
      <c r="H452" s="39">
        <v>52</v>
      </c>
      <c r="I452" s="39">
        <v>46</v>
      </c>
      <c r="J452" s="39">
        <v>40</v>
      </c>
      <c r="K452" s="39">
        <v>36</v>
      </c>
      <c r="L452" s="39">
        <v>35</v>
      </c>
      <c r="M452" s="39">
        <v>37</v>
      </c>
      <c r="N452" s="39">
        <v>44</v>
      </c>
      <c r="O452" s="39">
        <v>52</v>
      </c>
      <c r="P452" s="39">
        <v>57</v>
      </c>
      <c r="Q452" s="39">
        <v>54</v>
      </c>
      <c r="R452" s="39">
        <v>45</v>
      </c>
      <c r="S452" s="39">
        <v>36</v>
      </c>
      <c r="T452" s="39">
        <v>30</v>
      </c>
      <c r="U452" s="39">
        <v>25</v>
      </c>
      <c r="V452" s="39">
        <v>23</v>
      </c>
      <c r="W452" s="39">
        <v>27</v>
      </c>
      <c r="X452" s="39">
        <v>42</v>
      </c>
      <c r="Y452" s="40">
        <v>56</v>
      </c>
      <c r="Z452" s="41">
        <f t="shared" si="33"/>
        <v>1199</v>
      </c>
      <c r="AA452" s="42">
        <f t="shared" si="34"/>
        <v>49.958333333333336</v>
      </c>
    </row>
    <row r="453" spans="1:27" ht="14.1" customHeight="1" x14ac:dyDescent="0.2">
      <c r="A453" s="37">
        <v>30</v>
      </c>
      <c r="B453" s="38">
        <v>64</v>
      </c>
      <c r="C453" s="39">
        <v>70</v>
      </c>
      <c r="D453" s="39">
        <v>75</v>
      </c>
      <c r="E453" s="39">
        <v>78</v>
      </c>
      <c r="F453" s="39">
        <v>78</v>
      </c>
      <c r="G453" s="39">
        <v>68</v>
      </c>
      <c r="H453" s="39">
        <v>52</v>
      </c>
      <c r="I453" s="39">
        <v>44</v>
      </c>
      <c r="J453" s="39">
        <v>36</v>
      </c>
      <c r="K453" s="39">
        <v>31</v>
      </c>
      <c r="L453" s="39">
        <v>25</v>
      </c>
      <c r="M453" s="39">
        <v>23</v>
      </c>
      <c r="N453" s="39">
        <v>26</v>
      </c>
      <c r="O453" s="39">
        <v>35</v>
      </c>
      <c r="P453" s="39">
        <v>44</v>
      </c>
      <c r="Q453" s="39">
        <v>53</v>
      </c>
      <c r="R453" s="39">
        <v>58</v>
      </c>
      <c r="S453" s="39">
        <v>59</v>
      </c>
      <c r="T453" s="39">
        <v>55</v>
      </c>
      <c r="U453" s="39">
        <v>45</v>
      </c>
      <c r="V453" s="39">
        <v>37</v>
      </c>
      <c r="W453" s="39">
        <v>37</v>
      </c>
      <c r="X453" s="39">
        <v>41</v>
      </c>
      <c r="Y453" s="40">
        <v>54</v>
      </c>
      <c r="Z453" s="41">
        <f t="shared" si="33"/>
        <v>1188</v>
      </c>
      <c r="AA453" s="42">
        <f t="shared" si="34"/>
        <v>49.5</v>
      </c>
    </row>
    <row r="454" spans="1:27" ht="14.1" customHeight="1" x14ac:dyDescent="0.2">
      <c r="A454" s="37">
        <v>31</v>
      </c>
      <c r="B454" s="44">
        <v>67</v>
      </c>
      <c r="C454" s="45">
        <v>75</v>
      </c>
      <c r="D454" s="45">
        <v>79</v>
      </c>
      <c r="E454" s="45">
        <v>83</v>
      </c>
      <c r="F454" s="45">
        <v>85</v>
      </c>
      <c r="G454" s="45">
        <v>79</v>
      </c>
      <c r="H454" s="45">
        <v>63</v>
      </c>
      <c r="I454" s="45">
        <v>51</v>
      </c>
      <c r="J454" s="45">
        <v>43</v>
      </c>
      <c r="K454" s="45">
        <v>36</v>
      </c>
      <c r="L454" s="45">
        <v>28</v>
      </c>
      <c r="M454" s="45">
        <v>21</v>
      </c>
      <c r="N454" s="45">
        <v>20</v>
      </c>
      <c r="O454" s="45">
        <v>29</v>
      </c>
      <c r="P454" s="45">
        <v>45</v>
      </c>
      <c r="Q454" s="45">
        <v>58</v>
      </c>
      <c r="R454" s="45">
        <v>65</v>
      </c>
      <c r="S454" s="45">
        <v>68</v>
      </c>
      <c r="T454" s="45">
        <v>70</v>
      </c>
      <c r="U454" s="45">
        <v>70</v>
      </c>
      <c r="V454" s="45">
        <v>63</v>
      </c>
      <c r="W454" s="45">
        <v>55</v>
      </c>
      <c r="X454" s="45">
        <v>52</v>
      </c>
      <c r="Y454" s="46">
        <v>56</v>
      </c>
      <c r="Z454" s="47">
        <f t="shared" si="33"/>
        <v>1361</v>
      </c>
      <c r="AA454" s="48">
        <f t="shared" si="34"/>
        <v>56.708333333333336</v>
      </c>
    </row>
    <row r="455" spans="1:27" ht="14.1" customHeight="1" x14ac:dyDescent="0.2">
      <c r="A455" s="27" t="s">
        <v>7</v>
      </c>
      <c r="B455" s="49">
        <f t="shared" ref="B455:Y455" si="35">SUM(B424:B454)</f>
        <v>2338</v>
      </c>
      <c r="C455" s="49">
        <f t="shared" si="35"/>
        <v>2374</v>
      </c>
      <c r="D455" s="49">
        <f t="shared" si="35"/>
        <v>2416</v>
      </c>
      <c r="E455" s="49">
        <f t="shared" si="35"/>
        <v>2458</v>
      </c>
      <c r="F455" s="49">
        <f t="shared" si="35"/>
        <v>2471</v>
      </c>
      <c r="G455" s="49">
        <f t="shared" si="35"/>
        <v>2445</v>
      </c>
      <c r="H455" s="49">
        <f t="shared" si="35"/>
        <v>2382</v>
      </c>
      <c r="I455" s="49">
        <f t="shared" si="35"/>
        <v>2290</v>
      </c>
      <c r="J455" s="49">
        <f t="shared" si="35"/>
        <v>2179</v>
      </c>
      <c r="K455" s="49">
        <f t="shared" si="35"/>
        <v>2076</v>
      </c>
      <c r="L455" s="49">
        <f t="shared" si="35"/>
        <v>1933</v>
      </c>
      <c r="M455" s="49">
        <f t="shared" si="35"/>
        <v>1813</v>
      </c>
      <c r="N455" s="49">
        <f t="shared" si="35"/>
        <v>1713</v>
      </c>
      <c r="O455" s="49">
        <f t="shared" si="35"/>
        <v>1648</v>
      </c>
      <c r="P455" s="49">
        <f t="shared" si="35"/>
        <v>1630</v>
      </c>
      <c r="Q455" s="50">
        <f t="shared" si="35"/>
        <v>1656</v>
      </c>
      <c r="R455" s="49">
        <f t="shared" si="35"/>
        <v>1713</v>
      </c>
      <c r="S455" s="49">
        <f t="shared" si="35"/>
        <v>1787</v>
      </c>
      <c r="T455" s="49">
        <f t="shared" si="35"/>
        <v>1883</v>
      </c>
      <c r="U455" s="49">
        <f t="shared" si="35"/>
        <v>1983</v>
      </c>
      <c r="V455" s="49">
        <f t="shared" si="35"/>
        <v>2076</v>
      </c>
      <c r="W455" s="49">
        <f t="shared" si="35"/>
        <v>2168</v>
      </c>
      <c r="X455" s="49">
        <f t="shared" si="35"/>
        <v>2245</v>
      </c>
      <c r="Y455" s="49">
        <f t="shared" si="35"/>
        <v>2291</v>
      </c>
      <c r="Z455" s="51">
        <f>SUM(B424:Y454)</f>
        <v>49968</v>
      </c>
      <c r="AA455" s="52">
        <f>AVERAGE(B424:Y454)</f>
        <v>67.161290322580641</v>
      </c>
    </row>
    <row r="456" spans="1:27" ht="14.1" customHeight="1" x14ac:dyDescent="0.25">
      <c r="A456" s="57" t="s">
        <v>10</v>
      </c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</sheetData>
  <pageMargins left="0.45" right="0.25" top="0.5" bottom="0.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 Nguyen</dc:creator>
  <cp:lastModifiedBy>Tuyen Nguyen</cp:lastModifiedBy>
  <dcterms:created xsi:type="dcterms:W3CDTF">2026-09-25T06:43:25Z</dcterms:created>
  <dcterms:modified xsi:type="dcterms:W3CDTF">2026-09-25T06:43:45Z</dcterms:modified>
</cp:coreProperties>
</file>