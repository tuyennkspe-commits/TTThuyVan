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ện trạng" sheetId="1" state="visible" r:id="rId1"/>
    <sheet xmlns:r="http://schemas.openxmlformats.org/officeDocument/2006/relationships" name="Xét BĐK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&quot;%&quot;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1"/>
    </font>
    <font>
      <name val="Times New Roman"/>
      <i val="1"/>
      <sz val="11"/>
    </font>
    <font>
      <name val="Times New Roman"/>
      <b val="1"/>
      <sz val="11"/>
    </font>
    <font>
      <name val="Times New Roma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3" fillId="0" borderId="0" pivotButton="0" quotePrefix="0" xfId="0"/>
    <xf numFmtId="165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KẾT QUẢ TÍNH LŨ THEO XÔ-KÔ-LÔP-SKI - HIỆN TRẠNG - Cầu Phú Kiểng</t>
        </is>
      </c>
    </row>
    <row r="2">
      <c r="A2" s="1" t="inlineStr">
        <is>
          <t>I. THÔNG SỐ ĐẦU VÀO LƯU VỰC VÀ THỦY VĂN (ô vàng: số liệu nhập; ô còn lại: công thức)</t>
        </is>
      </c>
    </row>
    <row r="3">
      <c r="A3" s="2" t="inlineStr">
        <is>
          <t>Diện tích lưu vực</t>
        </is>
      </c>
      <c r="B3" s="3" t="inlineStr">
        <is>
          <t>Flv</t>
        </is>
      </c>
      <c r="C3" s="4" t="n">
        <v>1855</v>
      </c>
      <c r="D3" s="2" t="inlineStr">
        <is>
          <t>km²</t>
        </is>
      </c>
    </row>
    <row r="4">
      <c r="A4" s="2" t="inlineStr">
        <is>
          <t>Chiều dài sông chính</t>
        </is>
      </c>
      <c r="B4" s="3" t="inlineStr">
        <is>
          <t>Ls</t>
        </is>
      </c>
      <c r="C4" s="4" t="n">
        <v>78.98</v>
      </c>
      <c r="D4" s="2" t="inlineStr">
        <is>
          <t>km</t>
        </is>
      </c>
    </row>
    <row r="5">
      <c r="A5" s="2" t="inlineStr">
        <is>
          <t>Lớp nước tổn thất ban đầu</t>
        </is>
      </c>
      <c r="B5" s="3" t="inlineStr">
        <is>
          <t>Ho</t>
        </is>
      </c>
      <c r="C5" s="5" t="n">
        <v>16</v>
      </c>
      <c r="D5" s="2" t="inlineStr">
        <is>
          <t>mm</t>
        </is>
      </c>
    </row>
    <row r="6">
      <c r="A6" s="2" t="inlineStr">
        <is>
          <t>Vận tốc lớn nhất trên sườn dốc</t>
        </is>
      </c>
      <c r="B6" s="3" t="inlineStr">
        <is>
          <t>Vmax</t>
        </is>
      </c>
      <c r="C6" s="4" t="n">
        <v>2</v>
      </c>
      <c r="D6" s="2" t="inlineStr">
        <is>
          <t>m/s</t>
        </is>
      </c>
    </row>
    <row r="7">
      <c r="A7" s="2" t="inlineStr">
        <is>
          <t>H/S truyền lũ lòng sông</t>
        </is>
      </c>
      <c r="B7" s="3" t="inlineStr">
        <is>
          <t>kv</t>
        </is>
      </c>
      <c r="C7" s="6" t="n">
        <v>0.65</v>
      </c>
      <c r="D7" s="2" t="inlineStr"/>
    </row>
    <row r="8">
      <c r="A8" s="2" t="inlineStr">
        <is>
          <t>H/S thời gian theo vùng khí hậu</t>
        </is>
      </c>
      <c r="B8" s="3" t="inlineStr">
        <is>
          <t>km</t>
        </is>
      </c>
      <c r="C8" s="6" t="n">
        <v>0.5649999999999999</v>
      </c>
      <c r="D8" s="2" t="inlineStr"/>
    </row>
    <row r="9">
      <c r="A9" s="2" t="inlineStr">
        <is>
          <t>H/S thời gian mưa rào</t>
        </is>
      </c>
      <c r="B9" s="3" t="inlineStr">
        <is>
          <t>kt</t>
        </is>
      </c>
      <c r="C9" s="6" t="n">
        <v>1</v>
      </c>
      <c r="D9" s="2" t="inlineStr"/>
    </row>
    <row r="10">
      <c r="A10" s="2" t="inlineStr">
        <is>
          <t>Hệ số dòng chảy lũ</t>
        </is>
      </c>
      <c r="B10" s="3" t="inlineStr">
        <is>
          <t>α</t>
        </is>
      </c>
      <c r="C10" s="6" t="n">
        <v>0.86</v>
      </c>
      <c r="D10" s="2" t="inlineStr"/>
    </row>
    <row r="11">
      <c r="A11" s="2" t="inlineStr">
        <is>
          <t>Hệ số hình dạng lũ</t>
        </is>
      </c>
      <c r="B11" s="3" t="inlineStr">
        <is>
          <t>f</t>
        </is>
      </c>
      <c r="C11" s="6" t="n">
        <v>0.7</v>
      </c>
      <c r="D11" s="2" t="inlineStr"/>
    </row>
    <row r="12">
      <c r="A12" s="2" t="inlineStr">
        <is>
          <t>Hệ số triết giảm ao hồ, đầm lầy</t>
        </is>
      </c>
      <c r="B12" s="3" t="inlineStr">
        <is>
          <t>δ</t>
        </is>
      </c>
      <c r="C12" s="7" t="n">
        <v>0.9005</v>
      </c>
      <c r="D12" s="2" t="inlineStr"/>
    </row>
    <row r="13">
      <c r="A13" s="2" t="inlineStr">
        <is>
          <t>Thời gian tập trung nước trong sông</t>
        </is>
      </c>
      <c r="B13" s="3" t="inlineStr">
        <is>
          <t>ts</t>
        </is>
      </c>
      <c r="C13" s="8">
        <f>C4/(C7*C6*3.6)</f>
        <v/>
      </c>
      <c r="D13" s="2" t="inlineStr">
        <is>
          <t>giờ</t>
        </is>
      </c>
    </row>
    <row r="14">
      <c r="A14" s="2" t="inlineStr">
        <is>
          <t>Thời gian lũ lên</t>
        </is>
      </c>
      <c r="B14" s="3" t="inlineStr">
        <is>
          <t>tl</t>
        </is>
      </c>
      <c r="C14" s="8">
        <f>C13</f>
        <v/>
      </c>
      <c r="D14" s="2" t="inlineStr">
        <is>
          <t>giờ</t>
        </is>
      </c>
    </row>
    <row r="15">
      <c r="A15" s="2" t="inlineStr">
        <is>
          <t>Thời gian mưa tính toán</t>
        </is>
      </c>
      <c r="B15" s="3" t="inlineStr">
        <is>
          <t>T</t>
        </is>
      </c>
      <c r="C15" s="8">
        <f>C13*C8*C9</f>
        <v/>
      </c>
      <c r="D15" s="2" t="inlineStr">
        <is>
          <t>giờ</t>
        </is>
      </c>
    </row>
    <row r="16">
      <c r="A16" s="2" t="inlineStr">
        <is>
          <t>Phân vùng mưa rào</t>
        </is>
      </c>
      <c r="B16" s="3" t="inlineStr">
        <is>
          <t>R</t>
        </is>
      </c>
      <c r="C16" s="9" t="n">
        <v>13</v>
      </c>
      <c r="D16" s="2" t="inlineStr"/>
    </row>
    <row r="17">
      <c r="A17" s="2" t="inlineStr">
        <is>
          <t>Tung độ ψ(T) (nội suy bảng tọa độ vùng R)</t>
        </is>
      </c>
      <c r="B17" s="3" t="inlineStr">
        <is>
          <t>ψ</t>
        </is>
      </c>
      <c r="C17" s="10" t="n">
        <v>0.8371330484330484</v>
      </c>
      <c r="D17" s="2" t="inlineStr"/>
    </row>
    <row r="18">
      <c r="A18" s="2" t="inlineStr">
        <is>
          <t>Hệ số triết giảm diện tích 1+0,001·F^0,8</t>
        </is>
      </c>
      <c r="B18" s="3" t="inlineStr">
        <is>
          <t>ϑ</t>
        </is>
      </c>
      <c r="C18" s="10">
        <f>1+0.001*C3^0.8</f>
        <v/>
      </c>
      <c r="D18" s="2" t="inlineStr"/>
    </row>
    <row r="20">
      <c r="A20" s="1" t="inlineStr">
        <is>
          <t>II. KẾT QUẢ TÍNH TOÁN THEO TẦN SUẤT THIẾT KẾ P (%)</t>
        </is>
      </c>
    </row>
    <row r="21">
      <c r="A21" s="11" t="inlineStr">
        <is>
          <t>Thông số tính toán</t>
        </is>
      </c>
      <c r="B21" s="11" t="inlineStr">
        <is>
          <t>Ký hiệu (Đơn vị)</t>
        </is>
      </c>
      <c r="C21" s="11" t="inlineStr">
        <is>
          <t>1%</t>
        </is>
      </c>
      <c r="D21" s="11" t="inlineStr">
        <is>
          <t>1.5%</t>
        </is>
      </c>
      <c r="E21" s="11" t="inlineStr">
        <is>
          <t>4%</t>
        </is>
      </c>
      <c r="F21" s="11" t="inlineStr">
        <is>
          <t>5%</t>
        </is>
      </c>
      <c r="G21" s="11" t="inlineStr">
        <is>
          <t>10%</t>
        </is>
      </c>
      <c r="H21" s="11" t="inlineStr">
        <is>
          <t>50%</t>
        </is>
      </c>
    </row>
    <row r="22">
      <c r="A22" s="2" t="inlineStr">
        <is>
          <t>Tần suất thiết kế</t>
        </is>
      </c>
      <c r="B22" s="12" t="inlineStr">
        <is>
          <t>P (%)</t>
        </is>
      </c>
      <c r="C22" s="13" t="n">
        <v>1</v>
      </c>
      <c r="D22" s="13" t="n">
        <v>1.5</v>
      </c>
      <c r="E22" s="13" t="n">
        <v>4</v>
      </c>
      <c r="F22" s="13" t="n">
        <v>5</v>
      </c>
      <c r="G22" s="13" t="n">
        <v>10</v>
      </c>
      <c r="H22" s="13" t="n">
        <v>50</v>
      </c>
    </row>
    <row r="23">
      <c r="A23" s="2" t="inlineStr">
        <is>
          <t>Lượng mưa ngày thiết kế</t>
        </is>
      </c>
      <c r="B23" s="12" t="inlineStr">
        <is>
          <t>H24p (mm)</t>
        </is>
      </c>
      <c r="C23" s="14" t="n">
        <v>396.76</v>
      </c>
      <c r="D23" s="14" t="n">
        <v>369.18</v>
      </c>
      <c r="E23" s="14" t="n">
        <v>304.1</v>
      </c>
      <c r="F23" s="14" t="n">
        <v>289.58</v>
      </c>
      <c r="G23" s="14" t="n">
        <v>245.07</v>
      </c>
      <c r="H23" s="14" t="n">
        <v>140.02</v>
      </c>
    </row>
    <row r="24">
      <c r="A24" s="2" t="inlineStr">
        <is>
          <t>Tung độ đường cong mưa rào</t>
        </is>
      </c>
      <c r="B24" s="12" t="inlineStr">
        <is>
          <t>ψ(T)</t>
        </is>
      </c>
      <c r="C24" s="15">
        <f>$C$17</f>
        <v/>
      </c>
      <c r="D24" s="15">
        <f>$C$17</f>
        <v/>
      </c>
      <c r="E24" s="15">
        <f>$C$17</f>
        <v/>
      </c>
      <c r="F24" s="15">
        <f>$C$17</f>
        <v/>
      </c>
      <c r="G24" s="15">
        <f>$C$17</f>
        <v/>
      </c>
      <c r="H24" s="15">
        <f>$C$17</f>
        <v/>
      </c>
    </row>
    <row r="25">
      <c r="A25" s="2" t="inlineStr">
        <is>
          <t>Lượng mưa rào thiết kế</t>
        </is>
      </c>
      <c r="B25" s="12" t="inlineStr">
        <is>
          <t>Htp (mm)</t>
        </is>
      </c>
      <c r="C25" s="16">
        <f>C23*$C$17</f>
        <v/>
      </c>
      <c r="D25" s="16">
        <f>D23*$C$17</f>
        <v/>
      </c>
      <c r="E25" s="16">
        <f>E23*$C$17</f>
        <v/>
      </c>
      <c r="F25" s="16">
        <f>F23*$C$17</f>
        <v/>
      </c>
      <c r="G25" s="16">
        <f>G23*$C$17</f>
        <v/>
      </c>
      <c r="H25" s="16">
        <f>H23*$C$17</f>
        <v/>
      </c>
    </row>
    <row r="26">
      <c r="A26" s="2" t="inlineStr">
        <is>
          <t>Lượng mưa rào thiết kế triết giảm</t>
        </is>
      </c>
      <c r="B26" s="12" t="inlineStr">
        <is>
          <t>H'tp (mm)</t>
        </is>
      </c>
      <c r="C26" s="16">
        <f>C25/$C$18</f>
        <v/>
      </c>
      <c r="D26" s="16">
        <f>D25/$C$18</f>
        <v/>
      </c>
      <c r="E26" s="16">
        <f>E25/$C$18</f>
        <v/>
      </c>
      <c r="F26" s="16">
        <f>F25/$C$18</f>
        <v/>
      </c>
      <c r="G26" s="16">
        <f>G25/$C$18</f>
        <v/>
      </c>
      <c r="H26" s="16">
        <f>H25/$C$18</f>
        <v/>
      </c>
    </row>
    <row r="27">
      <c r="A27" s="17" t="inlineStr">
        <is>
          <t>Lưu lượng đỉnh lũ thiết kế</t>
        </is>
      </c>
      <c r="B27" s="18" t="inlineStr">
        <is>
          <t>Qmax,p (m³/s)</t>
        </is>
      </c>
      <c r="C27" s="19">
        <f>0.278*$C$10*MAX(C26-$C$5,0)*$C$11*$C$3*$C$12/$C$14</f>
        <v/>
      </c>
      <c r="D27" s="19">
        <f>0.278*$C$10*MAX(D26-$C$5,0)*$C$11*$C$3*$C$12/$C$14</f>
        <v/>
      </c>
      <c r="E27" s="19">
        <f>0.278*$C$10*MAX(E26-$C$5,0)*$C$11*$C$3*$C$12/$C$14</f>
        <v/>
      </c>
      <c r="F27" s="19">
        <f>0.278*$C$10*MAX(F26-$C$5,0)*$C$11*$C$3*$C$12/$C$14</f>
        <v/>
      </c>
      <c r="G27" s="19">
        <f>0.278*$C$10*MAX(G26-$C$5,0)*$C$11*$C$3*$C$12/$C$14</f>
        <v/>
      </c>
      <c r="H27" s="19">
        <f>0.278*$C$10*MAX(H26-$C$5,0)*$C$11*$C$3*$C$12/$C$14</f>
        <v/>
      </c>
    </row>
    <row r="29">
      <c r="A29" s="20" t="inlineStr">
        <is>
          <t>Công thức: Qmax,p = 0,278·α·(H'tp − Ho)·f·F·δ / tl  (Q = 0 nếu H'tp ≤ Ho)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KẾT QUẢ TÍNH LŨ THEO XÔ-KÔ-LÔP-SKI - XÉT BĐKH - Cầu Phú Kiểng</t>
        </is>
      </c>
    </row>
    <row r="2">
      <c r="A2" s="1" t="inlineStr">
        <is>
          <t>I. THÔNG SỐ ĐẦU VÀO LƯU VỰC VÀ THỦY VĂN (ô vàng: số liệu nhập; ô còn lại: công thức)</t>
        </is>
      </c>
    </row>
    <row r="3">
      <c r="A3" s="2" t="inlineStr">
        <is>
          <t>Diện tích lưu vực</t>
        </is>
      </c>
      <c r="B3" s="3" t="inlineStr">
        <is>
          <t>Flv</t>
        </is>
      </c>
      <c r="C3" s="4" t="n">
        <v>1855</v>
      </c>
      <c r="D3" s="2" t="inlineStr">
        <is>
          <t>km²</t>
        </is>
      </c>
    </row>
    <row r="4">
      <c r="A4" s="2" t="inlineStr">
        <is>
          <t>Chiều dài sông chính</t>
        </is>
      </c>
      <c r="B4" s="3" t="inlineStr">
        <is>
          <t>Ls</t>
        </is>
      </c>
      <c r="C4" s="4" t="n">
        <v>78.98</v>
      </c>
      <c r="D4" s="2" t="inlineStr">
        <is>
          <t>km</t>
        </is>
      </c>
    </row>
    <row r="5">
      <c r="A5" s="2" t="inlineStr">
        <is>
          <t>Lớp nước tổn thất ban đầu</t>
        </is>
      </c>
      <c r="B5" s="3" t="inlineStr">
        <is>
          <t>Ho</t>
        </is>
      </c>
      <c r="C5" s="5" t="n">
        <v>16</v>
      </c>
      <c r="D5" s="2" t="inlineStr">
        <is>
          <t>mm</t>
        </is>
      </c>
    </row>
    <row r="6">
      <c r="A6" s="2" t="inlineStr">
        <is>
          <t>Vận tốc lớn nhất trên sườn dốc</t>
        </is>
      </c>
      <c r="B6" s="3" t="inlineStr">
        <is>
          <t>Vmax</t>
        </is>
      </c>
      <c r="C6" s="4" t="n">
        <v>2</v>
      </c>
      <c r="D6" s="2" t="inlineStr">
        <is>
          <t>m/s</t>
        </is>
      </c>
    </row>
    <row r="7">
      <c r="A7" s="2" t="inlineStr">
        <is>
          <t>H/S truyền lũ lòng sông</t>
        </is>
      </c>
      <c r="B7" s="3" t="inlineStr">
        <is>
          <t>kv</t>
        </is>
      </c>
      <c r="C7" s="6" t="n">
        <v>0.65</v>
      </c>
      <c r="D7" s="2" t="inlineStr"/>
    </row>
    <row r="8">
      <c r="A8" s="2" t="inlineStr">
        <is>
          <t>H/S thời gian theo vùng khí hậu</t>
        </is>
      </c>
      <c r="B8" s="3" t="inlineStr">
        <is>
          <t>km</t>
        </is>
      </c>
      <c r="C8" s="6" t="n">
        <v>0.5649999999999999</v>
      </c>
      <c r="D8" s="2" t="inlineStr"/>
    </row>
    <row r="9">
      <c r="A9" s="2" t="inlineStr">
        <is>
          <t>H/S thời gian mưa rào</t>
        </is>
      </c>
      <c r="B9" s="3" t="inlineStr">
        <is>
          <t>kt</t>
        </is>
      </c>
      <c r="C9" s="6" t="n">
        <v>1</v>
      </c>
      <c r="D9" s="2" t="inlineStr"/>
    </row>
    <row r="10">
      <c r="A10" s="2" t="inlineStr">
        <is>
          <t>Hệ số dòng chảy lũ</t>
        </is>
      </c>
      <c r="B10" s="3" t="inlineStr">
        <is>
          <t>α</t>
        </is>
      </c>
      <c r="C10" s="6" t="n">
        <v>0.86</v>
      </c>
      <c r="D10" s="2" t="inlineStr"/>
    </row>
    <row r="11">
      <c r="A11" s="2" t="inlineStr">
        <is>
          <t>Hệ số hình dạng lũ</t>
        </is>
      </c>
      <c r="B11" s="3" t="inlineStr">
        <is>
          <t>f</t>
        </is>
      </c>
      <c r="C11" s="6" t="n">
        <v>0.7</v>
      </c>
      <c r="D11" s="2" t="inlineStr"/>
    </row>
    <row r="12">
      <c r="A12" s="2" t="inlineStr">
        <is>
          <t>Hệ số triết giảm ao hồ, đầm lầy</t>
        </is>
      </c>
      <c r="B12" s="3" t="inlineStr">
        <is>
          <t>δ</t>
        </is>
      </c>
      <c r="C12" s="7" t="n">
        <v>0.9005</v>
      </c>
      <c r="D12" s="2" t="inlineStr"/>
    </row>
    <row r="13">
      <c r="A13" s="2" t="inlineStr">
        <is>
          <t>Thời gian tập trung nước trong sông</t>
        </is>
      </c>
      <c r="B13" s="3" t="inlineStr">
        <is>
          <t>ts</t>
        </is>
      </c>
      <c r="C13" s="8">
        <f>C4/(C7*C6*3.6)</f>
        <v/>
      </c>
      <c r="D13" s="2" t="inlineStr">
        <is>
          <t>giờ</t>
        </is>
      </c>
    </row>
    <row r="14">
      <c r="A14" s="2" t="inlineStr">
        <is>
          <t>Thời gian lũ lên</t>
        </is>
      </c>
      <c r="B14" s="3" t="inlineStr">
        <is>
          <t>tl</t>
        </is>
      </c>
      <c r="C14" s="8">
        <f>C13</f>
        <v/>
      </c>
      <c r="D14" s="2" t="inlineStr">
        <is>
          <t>giờ</t>
        </is>
      </c>
    </row>
    <row r="15">
      <c r="A15" s="2" t="inlineStr">
        <is>
          <t>Thời gian mưa tính toán</t>
        </is>
      </c>
      <c r="B15" s="3" t="inlineStr">
        <is>
          <t>T</t>
        </is>
      </c>
      <c r="C15" s="8">
        <f>C13*C8*C9</f>
        <v/>
      </c>
      <c r="D15" s="2" t="inlineStr">
        <is>
          <t>giờ</t>
        </is>
      </c>
    </row>
    <row r="16">
      <c r="A16" s="2" t="inlineStr">
        <is>
          <t>Phân vùng mưa rào</t>
        </is>
      </c>
      <c r="B16" s="3" t="inlineStr">
        <is>
          <t>R</t>
        </is>
      </c>
      <c r="C16" s="9" t="n">
        <v>13</v>
      </c>
      <c r="D16" s="2" t="inlineStr"/>
    </row>
    <row r="17">
      <c r="A17" s="2" t="inlineStr">
        <is>
          <t>Tung độ ψ(T) (nội suy bảng tọa độ vùng R)</t>
        </is>
      </c>
      <c r="B17" s="3" t="inlineStr">
        <is>
          <t>ψ</t>
        </is>
      </c>
      <c r="C17" s="10" t="n">
        <v>0.8371330484330484</v>
      </c>
      <c r="D17" s="2" t="inlineStr"/>
    </row>
    <row r="18">
      <c r="A18" s="2" t="inlineStr">
        <is>
          <t>Hệ số triết giảm diện tích 1+0,001·F^0,8</t>
        </is>
      </c>
      <c r="B18" s="3" t="inlineStr">
        <is>
          <t>ϑ</t>
        </is>
      </c>
      <c r="C18" s="10">
        <f>1+0.001*C3^0.8</f>
        <v/>
      </c>
      <c r="D18" s="2" t="inlineStr"/>
    </row>
    <row r="20">
      <c r="A20" s="1" t="inlineStr">
        <is>
          <t>II. KẾT QUẢ TÍNH TOÁN THEO TẦN SUẤT THIẾT KẾ P (%)</t>
        </is>
      </c>
    </row>
    <row r="21">
      <c r="A21" s="11" t="inlineStr">
        <is>
          <t>Thông số tính toán</t>
        </is>
      </c>
      <c r="B21" s="11" t="inlineStr">
        <is>
          <t>Ký hiệu (Đơn vị)</t>
        </is>
      </c>
      <c r="C21" s="11" t="inlineStr">
        <is>
          <t>1%</t>
        </is>
      </c>
      <c r="D21" s="11" t="inlineStr">
        <is>
          <t>1.5%</t>
        </is>
      </c>
      <c r="E21" s="11" t="inlineStr">
        <is>
          <t>4%</t>
        </is>
      </c>
      <c r="F21" s="11" t="inlineStr">
        <is>
          <t>5%</t>
        </is>
      </c>
      <c r="G21" s="11" t="inlineStr">
        <is>
          <t>10%</t>
        </is>
      </c>
      <c r="H21" s="11" t="inlineStr">
        <is>
          <t>50%</t>
        </is>
      </c>
    </row>
    <row r="22">
      <c r="A22" s="2" t="inlineStr">
        <is>
          <t>Tần suất thiết kế</t>
        </is>
      </c>
      <c r="B22" s="12" t="inlineStr">
        <is>
          <t>P (%)</t>
        </is>
      </c>
      <c r="C22" s="13" t="n">
        <v>1</v>
      </c>
      <c r="D22" s="13" t="n">
        <v>1.5</v>
      </c>
      <c r="E22" s="13" t="n">
        <v>4</v>
      </c>
      <c r="F22" s="13" t="n">
        <v>5</v>
      </c>
      <c r="G22" s="13" t="n">
        <v>10</v>
      </c>
      <c r="H22" s="13" t="n">
        <v>50</v>
      </c>
    </row>
    <row r="23">
      <c r="A23" s="2" t="inlineStr">
        <is>
          <t>Lượng mưa ngày (số liệu gốc)</t>
        </is>
      </c>
      <c r="B23" s="12" t="inlineStr">
        <is>
          <t>H24p gốc (mm)</t>
        </is>
      </c>
      <c r="C23" s="14" t="n">
        <v>396.76</v>
      </c>
      <c r="D23" s="14" t="n">
        <v>369.18</v>
      </c>
      <c r="E23" s="14" t="n">
        <v>304.1</v>
      </c>
      <c r="F23" s="14" t="n">
        <v>289.58</v>
      </c>
      <c r="G23" s="14" t="n">
        <v>245.07</v>
      </c>
      <c r="H23" s="14" t="n">
        <v>140.02</v>
      </c>
    </row>
    <row r="24">
      <c r="A24" s="2" t="inlineStr">
        <is>
          <t>Hệ số biến đổi khí hậu</t>
        </is>
      </c>
      <c r="B24" s="12" t="inlineStr">
        <is>
          <t>Kbđkh</t>
        </is>
      </c>
      <c r="C24" s="21" t="n">
        <v>1.135</v>
      </c>
      <c r="D24" s="21" t="n">
        <v>1.135</v>
      </c>
      <c r="E24" s="21" t="n">
        <v>1.135</v>
      </c>
      <c r="F24" s="21" t="n">
        <v>1.135</v>
      </c>
      <c r="G24" s="21" t="n">
        <v>1.135</v>
      </c>
      <c r="H24" s="21" t="n">
        <v>1.135</v>
      </c>
    </row>
    <row r="25">
      <c r="A25" s="2" t="inlineStr">
        <is>
          <t>Lượng mưa ngày thiết kế xét BĐKH</t>
        </is>
      </c>
      <c r="B25" s="12" t="inlineStr">
        <is>
          <t>H24p (mm)</t>
        </is>
      </c>
      <c r="C25" s="16">
        <f>C23*C24</f>
        <v/>
      </c>
      <c r="D25" s="16">
        <f>D23*D24</f>
        <v/>
      </c>
      <c r="E25" s="16">
        <f>E23*E24</f>
        <v/>
      </c>
      <c r="F25" s="16">
        <f>F23*F24</f>
        <v/>
      </c>
      <c r="G25" s="16">
        <f>G23*G24</f>
        <v/>
      </c>
      <c r="H25" s="16">
        <f>H23*H24</f>
        <v/>
      </c>
    </row>
    <row r="26">
      <c r="A26" s="2" t="inlineStr">
        <is>
          <t>Tung độ đường cong mưa rào</t>
        </is>
      </c>
      <c r="B26" s="12" t="inlineStr">
        <is>
          <t>ψ(T)</t>
        </is>
      </c>
      <c r="C26" s="15">
        <f>$C$17</f>
        <v/>
      </c>
      <c r="D26" s="15">
        <f>$C$17</f>
        <v/>
      </c>
      <c r="E26" s="15">
        <f>$C$17</f>
        <v/>
      </c>
      <c r="F26" s="15">
        <f>$C$17</f>
        <v/>
      </c>
      <c r="G26" s="15">
        <f>$C$17</f>
        <v/>
      </c>
      <c r="H26" s="15">
        <f>$C$17</f>
        <v/>
      </c>
    </row>
    <row r="27">
      <c r="A27" s="2" t="inlineStr">
        <is>
          <t>Lượng mưa rào thiết kế</t>
        </is>
      </c>
      <c r="B27" s="12" t="inlineStr">
        <is>
          <t>Htp (mm)</t>
        </is>
      </c>
      <c r="C27" s="16">
        <f>C25*$C$17</f>
        <v/>
      </c>
      <c r="D27" s="16">
        <f>D25*$C$17</f>
        <v/>
      </c>
      <c r="E27" s="16">
        <f>E25*$C$17</f>
        <v/>
      </c>
      <c r="F27" s="16">
        <f>F25*$C$17</f>
        <v/>
      </c>
      <c r="G27" s="16">
        <f>G25*$C$17</f>
        <v/>
      </c>
      <c r="H27" s="16">
        <f>H25*$C$17</f>
        <v/>
      </c>
    </row>
    <row r="28">
      <c r="A28" s="2" t="inlineStr">
        <is>
          <t>Lượng mưa rào thiết kế triết giảm</t>
        </is>
      </c>
      <c r="B28" s="12" t="inlineStr">
        <is>
          <t>H'tp (mm)</t>
        </is>
      </c>
      <c r="C28" s="16">
        <f>C27/$C$18</f>
        <v/>
      </c>
      <c r="D28" s="16">
        <f>D27/$C$18</f>
        <v/>
      </c>
      <c r="E28" s="16">
        <f>E27/$C$18</f>
        <v/>
      </c>
      <c r="F28" s="16">
        <f>F27/$C$18</f>
        <v/>
      </c>
      <c r="G28" s="16">
        <f>G27/$C$18</f>
        <v/>
      </c>
      <c r="H28" s="16">
        <f>H27/$C$18</f>
        <v/>
      </c>
    </row>
    <row r="29">
      <c r="A29" s="17" t="inlineStr">
        <is>
          <t>Lưu lượng đỉnh lũ thiết kế</t>
        </is>
      </c>
      <c r="B29" s="18" t="inlineStr">
        <is>
          <t>Qmax,p (m³/s)</t>
        </is>
      </c>
      <c r="C29" s="19">
        <f>0.278*$C$10*MAX(C28-$C$5,0)*$C$11*$C$3*$C$12/$C$14</f>
        <v/>
      </c>
      <c r="D29" s="19">
        <f>0.278*$C$10*MAX(D28-$C$5,0)*$C$11*$C$3*$C$12/$C$14</f>
        <v/>
      </c>
      <c r="E29" s="19">
        <f>0.278*$C$10*MAX(E28-$C$5,0)*$C$11*$C$3*$C$12/$C$14</f>
        <v/>
      </c>
      <c r="F29" s="19">
        <f>0.278*$C$10*MAX(F28-$C$5,0)*$C$11*$C$3*$C$12/$C$14</f>
        <v/>
      </c>
      <c r="G29" s="19">
        <f>0.278*$C$10*MAX(G28-$C$5,0)*$C$11*$C$3*$C$12/$C$14</f>
        <v/>
      </c>
      <c r="H29" s="19">
        <f>0.278*$C$10*MAX(H28-$C$5,0)*$C$11*$C$3*$C$12/$C$14</f>
        <v/>
      </c>
    </row>
    <row r="31">
      <c r="A31" s="20" t="inlineStr">
        <is>
          <t>Công thức: Qmax,p = 0,278·α·(H'tp − Ho)·f·F·δ / tl  (Q = 0 nếu H'tp ≤ Ho)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2026-10-08T08:02:11Z</dcterms:created>
  <dcterms:modified xmlns:dcterms="http://purl.org/dc/terms/" xmlns:xsi="http://www.w3.org/2001/XMLSchema-instance" xsi:type="dcterms:W3CDTF">2026-10-08T08:02:11Z</dcterms:modified>
</cp:coreProperties>
</file>