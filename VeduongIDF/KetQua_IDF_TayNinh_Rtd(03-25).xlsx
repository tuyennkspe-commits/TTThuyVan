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ong cong IDF" sheetId="1" state="visible" r:id="rId1"/>
    <sheet name="TanSuat_TungThoiDo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1" fillId="0" borderId="0" pivotButton="0" quotePrefix="0" xfId="0"/>
    <xf numFmtId="0" fontId="2" fillId="0" borderId="0" pivotButton="0" quotePrefix="0" xfId="0"/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050" b="1">
                <a:latin typeface="Times New Roman"/>
              </a:defRPr>
            </a:pPr>
            <a:r>
              <a:rPr sz="1050" b="1">
                <a:latin typeface="Times New Roman"/>
              </a:rPr>
              <a:t>ĐƯỜNG CONG CƯỜNG ĐỘ MƯA TẦN SUẤT P = 1% (T = 100 NĂM)</a:t>
            </a:r>
          </a:p>
          <a:p>
            <a:pPr>
              <a:defRPr sz="1050" b="1">
                <a:latin typeface="Times New Roman"/>
              </a:defRPr>
            </a:pPr>
            <a:r>
              <a:rPr sz="1050" b="1">
                <a:latin typeface="Times New Roman"/>
              </a:rPr>
              <a:t>TRẠM TÂY NINH</a:t>
            </a:r>
          </a:p>
        </rich>
      </tx>
    </title>
    <plotArea>
      <scatterChart>
        <ser>
          <idx val="0"/>
          <order val="0"/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trendline>
            <trendlineType val="power"/>
            <dispRSqr val="1"/>
            <dispEq val="1"/>
          </trendline>
          <xVal>
            <numRef>
              <f>'Duong cong IDF'!$A$26:$A$35</f>
            </numRef>
          </xVal>
          <yVal>
            <numRef>
              <f>'Duong cong IDF'!$B$26:$B$35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 sz="950" b="0">
                    <a:latin typeface="Times New Roman"/>
                  </a:defRPr>
                </a:pPr>
                <a:r>
                  <a:rPr sz="950" b="0">
                    <a:latin typeface="Times New Roman"/>
                  </a:rPr>
                  <a:t>Thời gian t (phút)</a:t>
                </a:r>
              </a:p>
            </rich>
          </tx>
        </title>
        <majorTickMark val="none"/>
        <minorTickMark val="none"/>
        <txPr>
          <a:bodyPr/>
          <a:p>
            <a:pPr>
              <a:defRPr sz="850">
                <a:latin typeface="Times New Roman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 sz="950" b="0">
                    <a:latin typeface="Times New Roman"/>
                  </a:defRPr>
                </a:pPr>
                <a:r>
                  <a:rPr sz="950" b="0">
                    <a:latin typeface="Times New Roman"/>
                  </a:rPr>
                  <a:t>Cường độ mưa I (mm/phút)</a:t>
                </a:r>
              </a:p>
            </rich>
          </tx>
        </title>
        <majorTickMark val="none"/>
        <minorTickMark val="none"/>
        <txPr>
          <a:bodyPr/>
          <a:p>
            <a:pPr>
              <a:defRPr sz="850">
                <a:latin typeface="Times New Roman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050" b="1">
                <a:latin typeface="Times New Roman"/>
              </a:defRPr>
            </a:pPr>
            <a:r>
              <a:rPr sz="1050" b="1">
                <a:latin typeface="Times New Roman"/>
              </a:rPr>
              <a:t>ĐƯỜNG CONG CƯỜNG ĐỘ MƯA TẦN SUẤT P = 2% (T = 50 NĂM)</a:t>
            </a:r>
          </a:p>
          <a:p>
            <a:pPr>
              <a:defRPr sz="1050" b="1">
                <a:latin typeface="Times New Roman"/>
              </a:defRPr>
            </a:pPr>
            <a:r>
              <a:rPr sz="1050" b="1">
                <a:latin typeface="Times New Roman"/>
              </a:rPr>
              <a:t>TRẠM TÂY NINH</a:t>
            </a:r>
          </a:p>
        </rich>
      </tx>
    </title>
    <plotArea>
      <scatterChart>
        <ser>
          <idx val="0"/>
          <order val="0"/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trendline>
            <trendlineType val="power"/>
            <dispRSqr val="1"/>
            <dispEq val="1"/>
          </trendline>
          <xVal>
            <numRef>
              <f>'Duong cong IDF'!$A$26:$A$35</f>
            </numRef>
          </xVal>
          <yVal>
            <numRef>
              <f>'Duong cong IDF'!$C$26:$C$35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 sz="950" b="0">
                    <a:latin typeface="Times New Roman"/>
                  </a:defRPr>
                </a:pPr>
                <a:r>
                  <a:rPr sz="950" b="0">
                    <a:latin typeface="Times New Roman"/>
                  </a:rPr>
                  <a:t>Thời gian t (phút)</a:t>
                </a:r>
              </a:p>
            </rich>
          </tx>
        </title>
        <majorTickMark val="none"/>
        <minorTickMark val="none"/>
        <txPr>
          <a:bodyPr/>
          <a:p>
            <a:pPr>
              <a:defRPr sz="850">
                <a:latin typeface="Times New Roman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 sz="950" b="0">
                    <a:latin typeface="Times New Roman"/>
                  </a:defRPr>
                </a:pPr>
                <a:r>
                  <a:rPr sz="950" b="0">
                    <a:latin typeface="Times New Roman"/>
                  </a:rPr>
                  <a:t>Cường độ mưa I (mm/phút)</a:t>
                </a:r>
              </a:p>
            </rich>
          </tx>
        </title>
        <majorTickMark val="none"/>
        <minorTickMark val="none"/>
        <txPr>
          <a:bodyPr/>
          <a:p>
            <a:pPr>
              <a:defRPr sz="850">
                <a:latin typeface="Times New Roman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050" b="1">
                <a:latin typeface="Times New Roman"/>
              </a:defRPr>
            </a:pPr>
            <a:r>
              <a:rPr sz="1050" b="1">
                <a:latin typeface="Times New Roman"/>
              </a:rPr>
              <a:t>ĐƯỜNG CONG CƯỜNG ĐỘ MƯA TẦN SUẤT P = 3% (T = 33.3 NĂM)</a:t>
            </a:r>
          </a:p>
          <a:p>
            <a:pPr>
              <a:defRPr sz="1050" b="1">
                <a:latin typeface="Times New Roman"/>
              </a:defRPr>
            </a:pPr>
            <a:r>
              <a:rPr sz="1050" b="1">
                <a:latin typeface="Times New Roman"/>
              </a:rPr>
              <a:t>TRẠM TÂY NINH</a:t>
            </a:r>
          </a:p>
        </rich>
      </tx>
    </title>
    <plotArea>
      <scatterChart>
        <ser>
          <idx val="0"/>
          <order val="0"/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spPr>
          </marker>
          <trendline>
            <trendlineType val="power"/>
            <dispRSqr val="1"/>
            <dispEq val="1"/>
          </trendline>
          <xVal>
            <numRef>
              <f>'Duong cong IDF'!$A$26:$A$35</f>
            </numRef>
          </xVal>
          <yVal>
            <numRef>
              <f>'Duong cong IDF'!$D$26:$D$35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 sz="950" b="0">
                    <a:latin typeface="Times New Roman"/>
                  </a:defRPr>
                </a:pPr>
                <a:r>
                  <a:rPr sz="950" b="0">
                    <a:latin typeface="Times New Roman"/>
                  </a:rPr>
                  <a:t>Thời gian t (phút)</a:t>
                </a:r>
              </a:p>
            </rich>
          </tx>
        </title>
        <majorTickMark val="none"/>
        <minorTickMark val="none"/>
        <txPr>
          <a:bodyPr/>
          <a:p>
            <a:pPr>
              <a:defRPr sz="850">
                <a:latin typeface="Times New Roman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 sz="950" b="0">
                    <a:latin typeface="Times New Roman"/>
                  </a:defRPr>
                </a:pPr>
                <a:r>
                  <a:rPr sz="950" b="0">
                    <a:latin typeface="Times New Roman"/>
                  </a:rPr>
                  <a:t>Cường độ mưa I (mm/phút)</a:t>
                </a:r>
              </a:p>
            </rich>
          </tx>
        </title>
        <majorTickMark val="none"/>
        <minorTickMark val="none"/>
        <txPr>
          <a:bodyPr/>
          <a:p>
            <a:pPr>
              <a:defRPr sz="850">
                <a:latin typeface="Times New Roman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050" b="1">
                <a:latin typeface="Times New Roman"/>
              </a:defRPr>
            </a:pPr>
            <a:r>
              <a:rPr sz="1050" b="1">
                <a:latin typeface="Times New Roman"/>
              </a:rPr>
              <a:t>ĐƯỜNG CONG CƯỜNG ĐỘ MƯA TẦN SUẤT P = 4% (T = 25 NĂM)</a:t>
            </a:r>
          </a:p>
          <a:p>
            <a:pPr>
              <a:defRPr sz="1050" b="1">
                <a:latin typeface="Times New Roman"/>
              </a:defRPr>
            </a:pPr>
            <a:r>
              <a:rPr sz="1050" b="1">
                <a:latin typeface="Times New Roman"/>
              </a:rPr>
              <a:t>TRẠM TÂY NINH</a:t>
            </a:r>
          </a:p>
        </rich>
      </tx>
    </title>
    <plotArea>
      <scatterChart>
        <ser>
          <idx val="0"/>
          <order val="0"/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trendline>
            <trendlineType val="power"/>
            <dispRSqr val="1"/>
            <dispEq val="1"/>
          </trendline>
          <xVal>
            <numRef>
              <f>'Duong cong IDF'!$A$26:$A$35</f>
            </numRef>
          </xVal>
          <yVal>
            <numRef>
              <f>'Duong cong IDF'!$E$26:$E$35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 sz="950" b="0">
                    <a:latin typeface="Times New Roman"/>
                  </a:defRPr>
                </a:pPr>
                <a:r>
                  <a:rPr sz="950" b="0">
                    <a:latin typeface="Times New Roman"/>
                  </a:rPr>
                  <a:t>Thời gian t (phút)</a:t>
                </a:r>
              </a:p>
            </rich>
          </tx>
        </title>
        <majorTickMark val="none"/>
        <minorTickMark val="none"/>
        <txPr>
          <a:bodyPr/>
          <a:p>
            <a:pPr>
              <a:defRPr sz="850">
                <a:latin typeface="Times New Roman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 sz="950" b="0">
                    <a:latin typeface="Times New Roman"/>
                  </a:defRPr>
                </a:pPr>
                <a:r>
                  <a:rPr sz="950" b="0">
                    <a:latin typeface="Times New Roman"/>
                  </a:rPr>
                  <a:t>Cường độ mưa I (mm/phút)</a:t>
                </a:r>
              </a:p>
            </rich>
          </tx>
        </title>
        <majorTickMark val="none"/>
        <minorTickMark val="none"/>
        <txPr>
          <a:bodyPr/>
          <a:p>
            <a:pPr>
              <a:defRPr sz="850">
                <a:latin typeface="Times New Roman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050" b="1">
                <a:latin typeface="Times New Roman"/>
              </a:defRPr>
            </a:pPr>
            <a:r>
              <a:rPr sz="1050" b="1">
                <a:latin typeface="Times New Roman"/>
              </a:rPr>
              <a:t>ĐƯỜNG CONG CƯỜNG ĐỘ MƯA TẦN SUẤT P = 5% (T = 20 NĂM)</a:t>
            </a:r>
          </a:p>
          <a:p>
            <a:pPr>
              <a:defRPr sz="1050" b="1">
                <a:latin typeface="Times New Roman"/>
              </a:defRPr>
            </a:pPr>
            <a:r>
              <a:rPr sz="1050" b="1">
                <a:latin typeface="Times New Roman"/>
              </a:rPr>
              <a:t>TRẠM TÂY NINH</a:t>
            </a:r>
          </a:p>
        </rich>
      </tx>
    </title>
    <plotArea>
      <scatterChart>
        <ser>
          <idx val="0"/>
          <order val="0"/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trendline>
            <trendlineType val="power"/>
            <dispRSqr val="1"/>
            <dispEq val="1"/>
          </trendline>
          <xVal>
            <numRef>
              <f>'Duong cong IDF'!$A$26:$A$35</f>
            </numRef>
          </xVal>
          <yVal>
            <numRef>
              <f>'Duong cong IDF'!$F$26:$F$35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 sz="950" b="0">
                    <a:latin typeface="Times New Roman"/>
                  </a:defRPr>
                </a:pPr>
                <a:r>
                  <a:rPr sz="950" b="0">
                    <a:latin typeface="Times New Roman"/>
                  </a:rPr>
                  <a:t>Thời gian t (phút)</a:t>
                </a:r>
              </a:p>
            </rich>
          </tx>
        </title>
        <majorTickMark val="none"/>
        <minorTickMark val="none"/>
        <txPr>
          <a:bodyPr/>
          <a:p>
            <a:pPr>
              <a:defRPr sz="850">
                <a:latin typeface="Times New Roman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 sz="950" b="0">
                    <a:latin typeface="Times New Roman"/>
                  </a:defRPr>
                </a:pPr>
                <a:r>
                  <a:rPr sz="950" b="0">
                    <a:latin typeface="Times New Roman"/>
                  </a:rPr>
                  <a:t>Cường độ mưa I (mm/phút)</a:t>
                </a:r>
              </a:p>
            </rich>
          </tx>
        </title>
        <majorTickMark val="none"/>
        <minorTickMark val="none"/>
        <txPr>
          <a:bodyPr/>
          <a:p>
            <a:pPr>
              <a:defRPr sz="850">
                <a:latin typeface="Times New Roman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050" b="1">
                <a:latin typeface="Times New Roman"/>
              </a:defRPr>
            </a:pPr>
            <a:r>
              <a:rPr sz="1050" b="1">
                <a:latin typeface="Times New Roman"/>
              </a:rPr>
              <a:t>ĐƯỜNG CONG CƯỜNG ĐỘ MƯA TẦN SUẤT P = 10% (T = 10 NĂM)</a:t>
            </a:r>
          </a:p>
          <a:p>
            <a:pPr>
              <a:defRPr sz="1050" b="1">
                <a:latin typeface="Times New Roman"/>
              </a:defRPr>
            </a:pPr>
            <a:r>
              <a:rPr sz="1050" b="1">
                <a:latin typeface="Times New Roman"/>
              </a:rPr>
              <a:t>TRẠM TÂY NINH</a:t>
            </a:r>
          </a:p>
        </rich>
      </tx>
    </title>
    <plotArea>
      <scatterChart>
        <ser>
          <idx val="0"/>
          <order val="0"/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385723"/>
              </a:solidFill>
              <a:ln>
                <a:solidFill>
                  <a:srgbClr val="385723"/>
                </a:solidFill>
                <a:prstDash val="solid"/>
              </a:ln>
            </spPr>
          </marker>
          <trendline>
            <trendlineType val="power"/>
            <dispRSqr val="1"/>
            <dispEq val="1"/>
          </trendline>
          <xVal>
            <numRef>
              <f>'Duong cong IDF'!$A$26:$A$35</f>
            </numRef>
          </xVal>
          <yVal>
            <numRef>
              <f>'Duong cong IDF'!$G$26:$G$35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 sz="950" b="0">
                    <a:latin typeface="Times New Roman"/>
                  </a:defRPr>
                </a:pPr>
                <a:r>
                  <a:rPr sz="950" b="0">
                    <a:latin typeface="Times New Roman"/>
                  </a:rPr>
                  <a:t>Thời gian t (phút)</a:t>
                </a:r>
              </a:p>
            </rich>
          </tx>
        </title>
        <majorTickMark val="none"/>
        <minorTickMark val="none"/>
        <txPr>
          <a:bodyPr/>
          <a:p>
            <a:pPr>
              <a:defRPr sz="850">
                <a:latin typeface="Times New Roman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 sz="950" b="0">
                    <a:latin typeface="Times New Roman"/>
                  </a:defRPr>
                </a:pPr>
                <a:r>
                  <a:rPr sz="950" b="0">
                    <a:latin typeface="Times New Roman"/>
                  </a:rPr>
                  <a:t>Cường độ mưa I (mm/phút)</a:t>
                </a:r>
              </a:p>
            </rich>
          </tx>
        </title>
        <majorTickMark val="none"/>
        <minorTickMark val="none"/>
        <txPr>
          <a:bodyPr/>
          <a:p>
            <a:pPr>
              <a:defRPr sz="850">
                <a:latin typeface="Times New Roman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050" b="1">
                <a:latin typeface="Times New Roman"/>
              </a:defRPr>
            </a:pPr>
            <a:r>
              <a:rPr sz="1050" b="1">
                <a:latin typeface="Times New Roman"/>
              </a:rPr>
              <a:t>ĐƯỜNG CONG CƯỜNG ĐỘ MƯA TẦN SUẤT P = 20% (T = 5 NĂM)</a:t>
            </a:r>
          </a:p>
          <a:p>
            <a:pPr>
              <a:defRPr sz="1050" b="1">
                <a:latin typeface="Times New Roman"/>
              </a:defRPr>
            </a:pPr>
            <a:r>
              <a:rPr sz="1050" b="1">
                <a:latin typeface="Times New Roman"/>
              </a:rPr>
              <a:t>TRẠM TÂY NINH</a:t>
            </a:r>
          </a:p>
        </rich>
      </tx>
    </title>
    <plotArea>
      <scatterChart>
        <ser>
          <idx val="0"/>
          <order val="0"/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trendline>
            <trendlineType val="power"/>
            <dispRSqr val="1"/>
            <dispEq val="1"/>
          </trendline>
          <xVal>
            <numRef>
              <f>'Duong cong IDF'!$A$26:$A$35</f>
            </numRef>
          </xVal>
          <yVal>
            <numRef>
              <f>'Duong cong IDF'!$H$26:$H$35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 sz="950" b="0">
                    <a:latin typeface="Times New Roman"/>
                  </a:defRPr>
                </a:pPr>
                <a:r>
                  <a:rPr sz="950" b="0">
                    <a:latin typeface="Times New Roman"/>
                  </a:rPr>
                  <a:t>Thời gian t (phút)</a:t>
                </a:r>
              </a:p>
            </rich>
          </tx>
        </title>
        <majorTickMark val="none"/>
        <minorTickMark val="none"/>
        <txPr>
          <a:bodyPr/>
          <a:p>
            <a:pPr>
              <a:defRPr sz="850">
                <a:latin typeface="Times New Roman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 sz="950" b="0">
                    <a:latin typeface="Times New Roman"/>
                  </a:defRPr>
                </a:pPr>
                <a:r>
                  <a:rPr sz="950" b="0">
                    <a:latin typeface="Times New Roman"/>
                  </a:rPr>
                  <a:t>Cường độ mưa I (mm/phút)</a:t>
                </a:r>
              </a:p>
            </rich>
          </tx>
        </title>
        <majorTickMark val="none"/>
        <minorTickMark val="none"/>
        <txPr>
          <a:bodyPr/>
          <a:p>
            <a:pPr>
              <a:defRPr sz="850">
                <a:latin typeface="Times New Roman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050" b="1">
                <a:latin typeface="Times New Roman"/>
              </a:defRPr>
            </a:pPr>
            <a:r>
              <a:rPr sz="1050" b="1">
                <a:latin typeface="Times New Roman"/>
              </a:rPr>
              <a:t>ĐƯỜNG CONG CƯỜNG ĐỘ MƯA TẦN SUẤT P = 25% (T = 4 NĂM)</a:t>
            </a:r>
          </a:p>
          <a:p>
            <a:pPr>
              <a:defRPr sz="1050" b="1">
                <a:latin typeface="Times New Roman"/>
              </a:defRPr>
            </a:pPr>
            <a:r>
              <a:rPr sz="1050" b="1">
                <a:latin typeface="Times New Roman"/>
              </a:rPr>
              <a:t>TRẠM TÂY NINH</a:t>
            </a:r>
          </a:p>
        </rich>
      </tx>
    </title>
    <plotArea>
      <scatterChart>
        <ser>
          <idx val="0"/>
          <order val="0"/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7030A0"/>
              </a:solidFill>
              <a:ln>
                <a:solidFill>
                  <a:srgbClr val="7030A0"/>
                </a:solidFill>
                <a:prstDash val="solid"/>
              </a:ln>
            </spPr>
          </marker>
          <trendline>
            <trendlineType val="power"/>
            <dispRSqr val="1"/>
            <dispEq val="1"/>
          </trendline>
          <xVal>
            <numRef>
              <f>'Duong cong IDF'!$A$26:$A$35</f>
            </numRef>
          </xVal>
          <yVal>
            <numRef>
              <f>'Duong cong IDF'!$I$26:$I$35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 sz="950" b="0">
                    <a:latin typeface="Times New Roman"/>
                  </a:defRPr>
                </a:pPr>
                <a:r>
                  <a:rPr sz="950" b="0">
                    <a:latin typeface="Times New Roman"/>
                  </a:rPr>
                  <a:t>Thời gian t (phút)</a:t>
                </a:r>
              </a:p>
            </rich>
          </tx>
        </title>
        <majorTickMark val="none"/>
        <minorTickMark val="none"/>
        <txPr>
          <a:bodyPr/>
          <a:p>
            <a:pPr>
              <a:defRPr sz="850">
                <a:latin typeface="Times New Roman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 sz="950" b="0">
                    <a:latin typeface="Times New Roman"/>
                  </a:defRPr>
                </a:pPr>
                <a:r>
                  <a:rPr sz="950" b="0">
                    <a:latin typeface="Times New Roman"/>
                  </a:rPr>
                  <a:t>Cường độ mưa I (mm/phút)</a:t>
                </a:r>
              </a:p>
            </rich>
          </tx>
        </title>
        <majorTickMark val="none"/>
        <minorTickMark val="none"/>
        <txPr>
          <a:bodyPr/>
          <a:p>
            <a:pPr>
              <a:defRPr sz="850">
                <a:latin typeface="Times New Roman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050" b="1">
                <a:latin typeface="Times New Roman"/>
              </a:defRPr>
            </a:pPr>
            <a:r>
              <a:rPr sz="1050" b="1">
                <a:latin typeface="Times New Roman"/>
              </a:rPr>
              <a:t>ĐƯỜNG CONG CƯỜNG ĐỘ MƯA TẦN SUẤT P = 50% (T = 2 NĂM)</a:t>
            </a:r>
          </a:p>
          <a:p>
            <a:pPr>
              <a:defRPr sz="1050" b="1">
                <a:latin typeface="Times New Roman"/>
              </a:defRPr>
            </a:pPr>
            <a:r>
              <a:rPr sz="1050" b="1">
                <a:latin typeface="Times New Roman"/>
              </a:rPr>
              <a:t>TRẠM TÂY NINH</a:t>
            </a:r>
          </a:p>
        </rich>
      </tx>
    </title>
    <plotArea>
      <scatterChart>
        <ser>
          <idx val="0"/>
          <order val="0"/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002060"/>
              </a:solidFill>
              <a:ln>
                <a:solidFill>
                  <a:srgbClr val="002060"/>
                </a:solidFill>
                <a:prstDash val="solid"/>
              </a:ln>
            </spPr>
          </marker>
          <trendline>
            <trendlineType val="power"/>
            <dispRSqr val="1"/>
            <dispEq val="1"/>
          </trendline>
          <xVal>
            <numRef>
              <f>'Duong cong IDF'!$A$26:$A$35</f>
            </numRef>
          </xVal>
          <yVal>
            <numRef>
              <f>'Duong cong IDF'!$J$26:$J$35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 sz="950" b="0">
                    <a:latin typeface="Times New Roman"/>
                  </a:defRPr>
                </a:pPr>
                <a:r>
                  <a:rPr sz="950" b="0">
                    <a:latin typeface="Times New Roman"/>
                  </a:rPr>
                  <a:t>Thời gian t (phút)</a:t>
                </a:r>
              </a:p>
            </rich>
          </tx>
        </title>
        <majorTickMark val="none"/>
        <minorTickMark val="none"/>
        <txPr>
          <a:bodyPr/>
          <a:p>
            <a:pPr>
              <a:defRPr sz="850">
                <a:latin typeface="Times New Roman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 sz="950" b="0">
                    <a:latin typeface="Times New Roman"/>
                  </a:defRPr>
                </a:pPr>
                <a:r>
                  <a:rPr sz="950" b="0">
                    <a:latin typeface="Times New Roman"/>
                  </a:rPr>
                  <a:t>Cường độ mưa I (mm/phút)</a:t>
                </a:r>
              </a:p>
            </rich>
          </tx>
        </title>
        <majorTickMark val="none"/>
        <minorTickMark val="none"/>
        <txPr>
          <a:bodyPr/>
          <a:p>
            <a:pPr>
              <a:defRPr sz="850">
                <a:latin typeface="Times New Roman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5</row>
      <rowOff>0</rowOff>
    </from>
    <ext cx="5580000" cy="3528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22</col>
      <colOff>0</colOff>
      <row>5</row>
      <rowOff>0</rowOff>
    </from>
    <ext cx="5580000" cy="3528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25</row>
      <rowOff>0</rowOff>
    </from>
    <ext cx="5580000" cy="3528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22</col>
      <colOff>0</colOff>
      <row>25</row>
      <rowOff>0</rowOff>
    </from>
    <ext cx="5580000" cy="3528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12</col>
      <colOff>0</colOff>
      <row>45</row>
      <rowOff>0</rowOff>
    </from>
    <ext cx="5580000" cy="3528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22</col>
      <colOff>0</colOff>
      <row>45</row>
      <rowOff>0</rowOff>
    </from>
    <ext cx="5580000" cy="3528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12</col>
      <colOff>0</colOff>
      <row>65</row>
      <rowOff>0</rowOff>
    </from>
    <ext cx="5580000" cy="3528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22</col>
      <colOff>0</colOff>
      <row>65</row>
      <rowOff>0</rowOff>
    </from>
    <ext cx="5580000" cy="3528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12</col>
      <colOff>0</colOff>
      <row>85</row>
      <rowOff>0</rowOff>
    </from>
    <ext cx="5580000" cy="3528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70"/>
  <sheetViews>
    <sheetView workbookViewId="0">
      <selection activeCell="A1" sqref="A1"/>
    </sheetView>
  </sheetViews>
  <sheetFormatPr baseColWidth="8" defaultRowHeight="15"/>
  <cols>
    <col width="12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  <col width="13.5" customWidth="1" min="11" max="11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2">
      <c r="A2" s="1" t="inlineStr">
        <is>
          <t>XÂY DỰNG ĐƯỜNG CONG CƯỜNG ĐỘ MƯA (IDF)</t>
        </is>
      </c>
    </row>
    <row r="3">
      <c r="A3" s="1" t="inlineStr">
        <is>
          <t>TRẠM TÂY NINH</t>
        </is>
      </c>
    </row>
    <row r="6">
      <c r="A6" s="2" t="inlineStr">
        <is>
          <t>Thời đoạn</t>
        </is>
      </c>
      <c r="B6" s="2" t="inlineStr">
        <is>
          <t>Lượng mưa thời đoạn I (mm) tương ứng với chu kỳ lặp lại N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>
        <is>
          <t>t (phút)</t>
        </is>
      </c>
      <c r="B7" s="2" t="inlineStr">
        <is>
          <t>1.00</t>
        </is>
      </c>
      <c r="C7" s="2" t="inlineStr">
        <is>
          <t>2.00</t>
        </is>
      </c>
      <c r="D7" s="2" t="inlineStr">
        <is>
          <t>3.00</t>
        </is>
      </c>
      <c r="E7" s="2" t="inlineStr">
        <is>
          <t>4.00</t>
        </is>
      </c>
      <c r="F7" s="2" t="inlineStr">
        <is>
          <t>5.00</t>
        </is>
      </c>
      <c r="G7" s="2" t="inlineStr">
        <is>
          <t>10.00</t>
        </is>
      </c>
      <c r="H7" s="2" t="inlineStr">
        <is>
          <t>20.00</t>
        </is>
      </c>
      <c r="I7" s="2" t="inlineStr">
        <is>
          <t>25.00</t>
        </is>
      </c>
      <c r="J7" s="2" t="inlineStr">
        <is>
          <t>50.00</t>
        </is>
      </c>
      <c r="K7" s="2" t="inlineStr">
        <is>
          <t>Tần suất%</t>
        </is>
      </c>
    </row>
    <row r="8">
      <c r="A8" s="2" t="n"/>
      <c r="B8" s="2" t="n">
        <v>100</v>
      </c>
      <c r="C8" s="2" t="n">
        <v>50</v>
      </c>
      <c r="D8" s="2" t="n">
        <v>33.3</v>
      </c>
      <c r="E8" s="2" t="n">
        <v>25</v>
      </c>
      <c r="F8" s="2" t="n">
        <v>20</v>
      </c>
      <c r="G8" s="2" t="n">
        <v>10</v>
      </c>
      <c r="H8" s="2" t="n">
        <v>5</v>
      </c>
      <c r="I8" s="2" t="n">
        <v>4</v>
      </c>
      <c r="J8" s="2" t="n">
        <v>2</v>
      </c>
      <c r="K8" s="2" t="inlineStr">
        <is>
          <t>Chu kỳ lặp</t>
        </is>
      </c>
    </row>
    <row r="9">
      <c r="A9" s="3" t="n">
        <v>5</v>
      </c>
      <c r="B9" s="4" t="n">
        <v>30</v>
      </c>
      <c r="C9" s="4" t="n">
        <v>28.39</v>
      </c>
      <c r="D9" s="4" t="n">
        <v>27.4</v>
      </c>
      <c r="E9" s="4" t="n">
        <v>26.68</v>
      </c>
      <c r="F9" s="4" t="n">
        <v>26.11</v>
      </c>
      <c r="G9" s="4" t="n">
        <v>24.23</v>
      </c>
      <c r="H9" s="4" t="n">
        <v>22.13</v>
      </c>
      <c r="I9" s="4" t="n">
        <v>21.38</v>
      </c>
      <c r="J9" s="4" t="n">
        <v>18.64</v>
      </c>
      <c r="K9" s="5" t="n"/>
    </row>
    <row r="10">
      <c r="A10" s="3" t="n">
        <v>10</v>
      </c>
      <c r="B10" s="4" t="n">
        <v>44.65</v>
      </c>
      <c r="C10" s="4" t="n">
        <v>42.51</v>
      </c>
      <c r="D10" s="4" t="n">
        <v>41.19</v>
      </c>
      <c r="E10" s="4" t="n">
        <v>40.23</v>
      </c>
      <c r="F10" s="4" t="n">
        <v>39.46</v>
      </c>
      <c r="G10" s="4" t="n">
        <v>36.93</v>
      </c>
      <c r="H10" s="4" t="n">
        <v>34.08</v>
      </c>
      <c r="I10" s="4" t="n">
        <v>33.05</v>
      </c>
      <c r="J10" s="4" t="n">
        <v>29.26</v>
      </c>
      <c r="K10" s="5" t="n"/>
    </row>
    <row r="11">
      <c r="A11" s="3" t="n">
        <v>15</v>
      </c>
      <c r="B11" s="4" t="n">
        <v>61.96</v>
      </c>
      <c r="C11" s="4" t="n">
        <v>58.62</v>
      </c>
      <c r="D11" s="4" t="n">
        <v>56.59</v>
      </c>
      <c r="E11" s="4" t="n">
        <v>55.1</v>
      </c>
      <c r="F11" s="4" t="n">
        <v>53.92</v>
      </c>
      <c r="G11" s="4" t="n">
        <v>50.03</v>
      </c>
      <c r="H11" s="4" t="n">
        <v>45.7</v>
      </c>
      <c r="I11" s="4" t="n">
        <v>44.15</v>
      </c>
      <c r="J11" s="4" t="n">
        <v>38.47</v>
      </c>
      <c r="K11" s="5" t="n"/>
    </row>
    <row r="12">
      <c r="A12" s="3" t="n">
        <v>20</v>
      </c>
      <c r="B12" s="4" t="n">
        <v>70.8</v>
      </c>
      <c r="C12" s="4" t="n">
        <v>67.23999999999999</v>
      </c>
      <c r="D12" s="4" t="n">
        <v>65.06999999999999</v>
      </c>
      <c r="E12" s="4" t="n">
        <v>63.47</v>
      </c>
      <c r="F12" s="4" t="n">
        <v>62.21</v>
      </c>
      <c r="G12" s="4" t="n">
        <v>58.03</v>
      </c>
      <c r="H12" s="4" t="n">
        <v>53.35</v>
      </c>
      <c r="I12" s="4" t="n">
        <v>51.67</v>
      </c>
      <c r="J12" s="4" t="n">
        <v>45.47</v>
      </c>
      <c r="K12" s="5" t="n"/>
    </row>
    <row r="13">
      <c r="A13" s="3" t="n">
        <v>30</v>
      </c>
      <c r="B13" s="4" t="n">
        <v>94.55</v>
      </c>
      <c r="C13" s="4" t="n">
        <v>89.45999999999999</v>
      </c>
      <c r="D13" s="4" t="n">
        <v>86.36</v>
      </c>
      <c r="E13" s="4" t="n">
        <v>84.09</v>
      </c>
      <c r="F13" s="4" t="n">
        <v>82.29000000000001</v>
      </c>
      <c r="G13" s="4" t="n">
        <v>76.36</v>
      </c>
      <c r="H13" s="4" t="n">
        <v>69.75</v>
      </c>
      <c r="I13" s="4" t="n">
        <v>67.39</v>
      </c>
      <c r="J13" s="4" t="n">
        <v>58.73</v>
      </c>
      <c r="K13" s="5" t="n"/>
    </row>
    <row r="14">
      <c r="A14" s="3" t="n">
        <v>45</v>
      </c>
      <c r="B14" s="4" t="n">
        <v>115.83</v>
      </c>
      <c r="C14" s="4" t="n">
        <v>109.25</v>
      </c>
      <c r="D14" s="4" t="n">
        <v>105.25</v>
      </c>
      <c r="E14" s="4" t="n">
        <v>102.32</v>
      </c>
      <c r="F14" s="4" t="n">
        <v>100</v>
      </c>
      <c r="G14" s="4" t="n">
        <v>92.39</v>
      </c>
      <c r="H14" s="4" t="n">
        <v>83.93000000000001</v>
      </c>
      <c r="I14" s="4" t="n">
        <v>80.92</v>
      </c>
      <c r="J14" s="4" t="n">
        <v>69.94</v>
      </c>
      <c r="K14" s="5" t="n"/>
    </row>
    <row r="15">
      <c r="A15" s="3" t="n">
        <v>60</v>
      </c>
      <c r="B15" s="4" t="n">
        <v>129.54</v>
      </c>
      <c r="C15" s="4" t="n">
        <v>122.46</v>
      </c>
      <c r="D15" s="4" t="n">
        <v>118.15</v>
      </c>
      <c r="E15" s="4" t="n">
        <v>115</v>
      </c>
      <c r="F15" s="4" t="n">
        <v>112.49</v>
      </c>
      <c r="G15" s="4" t="n">
        <v>104.28</v>
      </c>
      <c r="H15" s="4" t="n">
        <v>95.11</v>
      </c>
      <c r="I15" s="4" t="n">
        <v>91.84</v>
      </c>
      <c r="J15" s="4" t="n">
        <v>79.86</v>
      </c>
      <c r="K15" s="5" t="n"/>
    </row>
    <row r="16">
      <c r="A16" s="3" t="n">
        <v>90</v>
      </c>
      <c r="B16" s="4" t="n">
        <v>167.93</v>
      </c>
      <c r="C16" s="4" t="n">
        <v>154.88</v>
      </c>
      <c r="D16" s="4" t="n">
        <v>147.03</v>
      </c>
      <c r="E16" s="4" t="n">
        <v>141.35</v>
      </c>
      <c r="F16" s="4" t="n">
        <v>136.87</v>
      </c>
      <c r="G16" s="4" t="n">
        <v>122.42</v>
      </c>
      <c r="H16" s="4" t="n">
        <v>106.81</v>
      </c>
      <c r="I16" s="4" t="n">
        <v>101.41</v>
      </c>
      <c r="J16" s="4" t="n">
        <v>82.40000000000001</v>
      </c>
      <c r="K16" s="5" t="n"/>
    </row>
    <row r="17">
      <c r="A17" s="3" t="n">
        <v>120</v>
      </c>
      <c r="B17" s="4" t="n">
        <v>154.14</v>
      </c>
      <c r="C17" s="4" t="n">
        <v>144.64</v>
      </c>
      <c r="D17" s="4" t="n">
        <v>138.88</v>
      </c>
      <c r="E17" s="4" t="n">
        <v>134.68</v>
      </c>
      <c r="F17" s="4" t="n">
        <v>131.35</v>
      </c>
      <c r="G17" s="4" t="n">
        <v>120.48</v>
      </c>
      <c r="H17" s="4" t="n">
        <v>108.46</v>
      </c>
      <c r="I17" s="4" t="n">
        <v>104.22</v>
      </c>
      <c r="J17" s="4" t="n">
        <v>88.84999999999999</v>
      </c>
      <c r="K17" s="5" t="n"/>
    </row>
    <row r="18">
      <c r="A18" s="3" t="n">
        <v>180</v>
      </c>
      <c r="B18" s="4" t="n">
        <v>183.28</v>
      </c>
      <c r="C18" s="4" t="n">
        <v>169.68</v>
      </c>
      <c r="D18" s="4" t="n">
        <v>161.49</v>
      </c>
      <c r="E18" s="4" t="n">
        <v>155.55</v>
      </c>
      <c r="F18" s="4" t="n">
        <v>150.85</v>
      </c>
      <c r="G18" s="4" t="n">
        <v>135.69</v>
      </c>
      <c r="H18" s="4" t="n">
        <v>119.21</v>
      </c>
      <c r="I18" s="4" t="n">
        <v>113.49</v>
      </c>
      <c r="J18" s="4" t="n">
        <v>93.22</v>
      </c>
      <c r="K18" s="5" t="n"/>
    </row>
    <row r="19">
      <c r="A19" s="3" t="n">
        <v>360</v>
      </c>
      <c r="B19" s="4" t="n">
        <v>195.27</v>
      </c>
      <c r="C19" s="4" t="n">
        <v>180.57</v>
      </c>
      <c r="D19" s="4" t="n">
        <v>171.73</v>
      </c>
      <c r="E19" s="4" t="n">
        <v>165.32</v>
      </c>
      <c r="F19" s="4" t="n">
        <v>160.26</v>
      </c>
      <c r="G19" s="4" t="n">
        <v>143.9</v>
      </c>
      <c r="H19" s="4" t="n">
        <v>126.17</v>
      </c>
      <c r="I19" s="4" t="n">
        <v>120.02</v>
      </c>
      <c r="J19" s="4" t="n">
        <v>98.26000000000001</v>
      </c>
      <c r="K19" s="5" t="n"/>
    </row>
    <row r="23">
      <c r="A23" s="2" t="inlineStr">
        <is>
          <t>Thời đoạn</t>
        </is>
      </c>
      <c r="B23" s="2" t="inlineStr">
        <is>
          <t>Cường độ mưa I (mm/phút) tương ứng với chu kỳ lặp lại N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inlineStr">
        <is>
          <t>t (phút)</t>
        </is>
      </c>
      <c r="B24" s="2" t="inlineStr">
        <is>
          <t>1.00</t>
        </is>
      </c>
      <c r="C24" s="2" t="inlineStr">
        <is>
          <t>2.00</t>
        </is>
      </c>
      <c r="D24" s="2" t="inlineStr">
        <is>
          <t>3.00</t>
        </is>
      </c>
      <c r="E24" s="2" t="inlineStr">
        <is>
          <t>4.00</t>
        </is>
      </c>
      <c r="F24" s="2" t="inlineStr">
        <is>
          <t>5.00</t>
        </is>
      </c>
      <c r="G24" s="2" t="inlineStr">
        <is>
          <t>10.00</t>
        </is>
      </c>
      <c r="H24" s="2" t="inlineStr">
        <is>
          <t>20.00</t>
        </is>
      </c>
      <c r="I24" s="2" t="inlineStr">
        <is>
          <t>25.00</t>
        </is>
      </c>
      <c r="J24" s="2" t="inlineStr">
        <is>
          <t>50.00</t>
        </is>
      </c>
      <c r="K24" s="2" t="inlineStr">
        <is>
          <t>Tần suất%</t>
        </is>
      </c>
    </row>
    <row r="25">
      <c r="A25" s="2" t="n"/>
      <c r="B25" s="2" t="n">
        <v>100</v>
      </c>
      <c r="C25" s="2" t="n">
        <v>50</v>
      </c>
      <c r="D25" s="2" t="n">
        <v>33.3</v>
      </c>
      <c r="E25" s="2" t="n">
        <v>25</v>
      </c>
      <c r="F25" s="2" t="n">
        <v>20</v>
      </c>
      <c r="G25" s="2" t="n">
        <v>10</v>
      </c>
      <c r="H25" s="2" t="n">
        <v>5</v>
      </c>
      <c r="I25" s="2" t="n">
        <v>4</v>
      </c>
      <c r="J25" s="2" t="n">
        <v>2</v>
      </c>
      <c r="K25" s="2" t="inlineStr">
        <is>
          <t>Chu kỳ lặp</t>
        </is>
      </c>
    </row>
    <row r="26">
      <c r="A26" s="3" t="n">
        <v>5</v>
      </c>
      <c r="B26" s="6">
        <f>B9/$A26</f>
        <v/>
      </c>
      <c r="C26" s="6">
        <f>C9/$A26</f>
        <v/>
      </c>
      <c r="D26" s="6">
        <f>D9/$A26</f>
        <v/>
      </c>
      <c r="E26" s="6">
        <f>E9/$A26</f>
        <v/>
      </c>
      <c r="F26" s="6">
        <f>F9/$A26</f>
        <v/>
      </c>
      <c r="G26" s="6">
        <f>G9/$A26</f>
        <v/>
      </c>
      <c r="H26" s="6">
        <f>H9/$A26</f>
        <v/>
      </c>
      <c r="I26" s="6">
        <f>I9/$A26</f>
        <v/>
      </c>
      <c r="J26" s="6">
        <f>J9/$A26</f>
        <v/>
      </c>
      <c r="K26" s="5" t="n"/>
    </row>
    <row r="27">
      <c r="A27" s="3" t="n">
        <v>10</v>
      </c>
      <c r="B27" s="6">
        <f>B10/$A27</f>
        <v/>
      </c>
      <c r="C27" s="6">
        <f>C10/$A27</f>
        <v/>
      </c>
      <c r="D27" s="6">
        <f>D10/$A27</f>
        <v/>
      </c>
      <c r="E27" s="6">
        <f>E10/$A27</f>
        <v/>
      </c>
      <c r="F27" s="6">
        <f>F10/$A27</f>
        <v/>
      </c>
      <c r="G27" s="6">
        <f>G10/$A27</f>
        <v/>
      </c>
      <c r="H27" s="6">
        <f>H10/$A27</f>
        <v/>
      </c>
      <c r="I27" s="6">
        <f>I10/$A27</f>
        <v/>
      </c>
      <c r="J27" s="6">
        <f>J10/$A27</f>
        <v/>
      </c>
      <c r="K27" s="5" t="n"/>
    </row>
    <row r="28">
      <c r="A28" s="3" t="n">
        <v>15</v>
      </c>
      <c r="B28" s="6">
        <f>B11/$A28</f>
        <v/>
      </c>
      <c r="C28" s="6">
        <f>C11/$A28</f>
        <v/>
      </c>
      <c r="D28" s="6">
        <f>D11/$A28</f>
        <v/>
      </c>
      <c r="E28" s="6">
        <f>E11/$A28</f>
        <v/>
      </c>
      <c r="F28" s="6">
        <f>F11/$A28</f>
        <v/>
      </c>
      <c r="G28" s="6">
        <f>G11/$A28</f>
        <v/>
      </c>
      <c r="H28" s="6">
        <f>H11/$A28</f>
        <v/>
      </c>
      <c r="I28" s="6">
        <f>I11/$A28</f>
        <v/>
      </c>
      <c r="J28" s="6">
        <f>J11/$A28</f>
        <v/>
      </c>
      <c r="K28" s="5" t="n"/>
    </row>
    <row r="29">
      <c r="A29" s="3" t="n">
        <v>20</v>
      </c>
      <c r="B29" s="6">
        <f>B12/$A29</f>
        <v/>
      </c>
      <c r="C29" s="6">
        <f>C12/$A29</f>
        <v/>
      </c>
      <c r="D29" s="6">
        <f>D12/$A29</f>
        <v/>
      </c>
      <c r="E29" s="6">
        <f>E12/$A29</f>
        <v/>
      </c>
      <c r="F29" s="6">
        <f>F12/$A29</f>
        <v/>
      </c>
      <c r="G29" s="6">
        <f>G12/$A29</f>
        <v/>
      </c>
      <c r="H29" s="6">
        <f>H12/$A29</f>
        <v/>
      </c>
      <c r="I29" s="6">
        <f>I12/$A29</f>
        <v/>
      </c>
      <c r="J29" s="6">
        <f>J12/$A29</f>
        <v/>
      </c>
      <c r="K29" s="5" t="n"/>
    </row>
    <row r="30">
      <c r="A30" s="3" t="n">
        <v>30</v>
      </c>
      <c r="B30" s="6">
        <f>B13/$A30</f>
        <v/>
      </c>
      <c r="C30" s="6">
        <f>C13/$A30</f>
        <v/>
      </c>
      <c r="D30" s="6">
        <f>D13/$A30</f>
        <v/>
      </c>
      <c r="E30" s="6">
        <f>E13/$A30</f>
        <v/>
      </c>
      <c r="F30" s="6">
        <f>F13/$A30</f>
        <v/>
      </c>
      <c r="G30" s="6">
        <f>G13/$A30</f>
        <v/>
      </c>
      <c r="H30" s="6">
        <f>H13/$A30</f>
        <v/>
      </c>
      <c r="I30" s="6">
        <f>I13/$A30</f>
        <v/>
      </c>
      <c r="J30" s="6">
        <f>J13/$A30</f>
        <v/>
      </c>
      <c r="K30" s="5" t="n"/>
    </row>
    <row r="31">
      <c r="A31" s="3" t="n">
        <v>45</v>
      </c>
      <c r="B31" s="6">
        <f>B14/$A31</f>
        <v/>
      </c>
      <c r="C31" s="6">
        <f>C14/$A31</f>
        <v/>
      </c>
      <c r="D31" s="6">
        <f>D14/$A31</f>
        <v/>
      </c>
      <c r="E31" s="6">
        <f>E14/$A31</f>
        <v/>
      </c>
      <c r="F31" s="6">
        <f>F14/$A31</f>
        <v/>
      </c>
      <c r="G31" s="6">
        <f>G14/$A31</f>
        <v/>
      </c>
      <c r="H31" s="6">
        <f>H14/$A31</f>
        <v/>
      </c>
      <c r="I31" s="6">
        <f>I14/$A31</f>
        <v/>
      </c>
      <c r="J31" s="6">
        <f>J14/$A31</f>
        <v/>
      </c>
      <c r="K31" s="5" t="n"/>
    </row>
    <row r="32">
      <c r="A32" s="3" t="n">
        <v>60</v>
      </c>
      <c r="B32" s="6">
        <f>B15/$A32</f>
        <v/>
      </c>
      <c r="C32" s="6">
        <f>C15/$A32</f>
        <v/>
      </c>
      <c r="D32" s="6">
        <f>D15/$A32</f>
        <v/>
      </c>
      <c r="E32" s="6">
        <f>E15/$A32</f>
        <v/>
      </c>
      <c r="F32" s="6">
        <f>F15/$A32</f>
        <v/>
      </c>
      <c r="G32" s="6">
        <f>G15/$A32</f>
        <v/>
      </c>
      <c r="H32" s="6">
        <f>H15/$A32</f>
        <v/>
      </c>
      <c r="I32" s="6">
        <f>I15/$A32</f>
        <v/>
      </c>
      <c r="J32" s="6">
        <f>J15/$A32</f>
        <v/>
      </c>
      <c r="K32" s="5" t="n"/>
    </row>
    <row r="33">
      <c r="A33" s="3" t="n">
        <v>90</v>
      </c>
      <c r="B33" s="6">
        <f>B16/$A33</f>
        <v/>
      </c>
      <c r="C33" s="6">
        <f>C16/$A33</f>
        <v/>
      </c>
      <c r="D33" s="6">
        <f>D16/$A33</f>
        <v/>
      </c>
      <c r="E33" s="6">
        <f>E16/$A33</f>
        <v/>
      </c>
      <c r="F33" s="6">
        <f>F16/$A33</f>
        <v/>
      </c>
      <c r="G33" s="6">
        <f>G16/$A33</f>
        <v/>
      </c>
      <c r="H33" s="6">
        <f>H16/$A33</f>
        <v/>
      </c>
      <c r="I33" s="6">
        <f>I16/$A33</f>
        <v/>
      </c>
      <c r="J33" s="6">
        <f>J16/$A33</f>
        <v/>
      </c>
      <c r="K33" s="5" t="n"/>
    </row>
    <row r="34">
      <c r="A34" s="3" t="n">
        <v>120</v>
      </c>
      <c r="B34" s="6">
        <f>B17/$A34</f>
        <v/>
      </c>
      <c r="C34" s="6">
        <f>C17/$A34</f>
        <v/>
      </c>
      <c r="D34" s="6">
        <f>D17/$A34</f>
        <v/>
      </c>
      <c r="E34" s="6">
        <f>E17/$A34</f>
        <v/>
      </c>
      <c r="F34" s="6">
        <f>F17/$A34</f>
        <v/>
      </c>
      <c r="G34" s="6">
        <f>G17/$A34</f>
        <v/>
      </c>
      <c r="H34" s="6">
        <f>H17/$A34</f>
        <v/>
      </c>
      <c r="I34" s="6">
        <f>I17/$A34</f>
        <v/>
      </c>
      <c r="J34" s="6">
        <f>J17/$A34</f>
        <v/>
      </c>
      <c r="K34" s="5" t="n"/>
    </row>
    <row r="35">
      <c r="A35" s="3" t="n">
        <v>180</v>
      </c>
      <c r="B35" s="6">
        <f>B18/$A35</f>
        <v/>
      </c>
      <c r="C35" s="6">
        <f>C18/$A35</f>
        <v/>
      </c>
      <c r="D35" s="6">
        <f>D18/$A35</f>
        <v/>
      </c>
      <c r="E35" s="6">
        <f>E18/$A35</f>
        <v/>
      </c>
      <c r="F35" s="6">
        <f>F18/$A35</f>
        <v/>
      </c>
      <c r="G35" s="6">
        <f>G18/$A35</f>
        <v/>
      </c>
      <c r="H35" s="6">
        <f>H18/$A35</f>
        <v/>
      </c>
      <c r="I35" s="6">
        <f>I18/$A35</f>
        <v/>
      </c>
      <c r="J35" s="6">
        <f>J18/$A35</f>
        <v/>
      </c>
      <c r="K35" s="5" t="n"/>
    </row>
    <row r="36">
      <c r="A36" s="3" t="n">
        <v>360</v>
      </c>
      <c r="B36" s="6">
        <f>B19/$A36</f>
        <v/>
      </c>
      <c r="C36" s="6">
        <f>C19/$A36</f>
        <v/>
      </c>
      <c r="D36" s="6">
        <f>D19/$A36</f>
        <v/>
      </c>
      <c r="E36" s="6">
        <f>E19/$A36</f>
        <v/>
      </c>
      <c r="F36" s="6">
        <f>F19/$A36</f>
        <v/>
      </c>
      <c r="G36" s="6">
        <f>G19/$A36</f>
        <v/>
      </c>
      <c r="H36" s="6">
        <f>H19/$A36</f>
        <v/>
      </c>
      <c r="I36" s="6">
        <f>I19/$A36</f>
        <v/>
      </c>
      <c r="J36" s="6">
        <f>J19/$A36</f>
        <v/>
      </c>
      <c r="K36" s="5" t="n"/>
    </row>
    <row r="40">
      <c r="A40" s="2" t="inlineStr">
        <is>
          <t>Thời đoạn</t>
        </is>
      </c>
      <c r="B40" s="2" t="inlineStr">
        <is>
          <t>Cường độ mưa I (mm/h) tương ứng với chu kỳ lặp lại N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A41" s="2" t="inlineStr">
        <is>
          <t>t (phút)</t>
        </is>
      </c>
      <c r="B41" s="2" t="inlineStr">
        <is>
          <t>1.00</t>
        </is>
      </c>
      <c r="C41" s="2" t="inlineStr">
        <is>
          <t>2.00</t>
        </is>
      </c>
      <c r="D41" s="2" t="inlineStr">
        <is>
          <t>3.00</t>
        </is>
      </c>
      <c r="E41" s="2" t="inlineStr">
        <is>
          <t>4.00</t>
        </is>
      </c>
      <c r="F41" s="2" t="inlineStr">
        <is>
          <t>5.00</t>
        </is>
      </c>
      <c r="G41" s="2" t="inlineStr">
        <is>
          <t>10.00</t>
        </is>
      </c>
      <c r="H41" s="2" t="inlineStr">
        <is>
          <t>20.00</t>
        </is>
      </c>
      <c r="I41" s="2" t="inlineStr">
        <is>
          <t>25.00</t>
        </is>
      </c>
      <c r="J41" s="2" t="inlineStr">
        <is>
          <t>50.00</t>
        </is>
      </c>
      <c r="K41" s="2" t="inlineStr">
        <is>
          <t>Tần suất%</t>
        </is>
      </c>
    </row>
    <row r="42">
      <c r="A42" s="2" t="n"/>
      <c r="B42" s="2" t="n">
        <v>100</v>
      </c>
      <c r="C42" s="2" t="n">
        <v>50</v>
      </c>
      <c r="D42" s="2" t="n">
        <v>33.3</v>
      </c>
      <c r="E42" s="2" t="n">
        <v>25</v>
      </c>
      <c r="F42" s="2" t="n">
        <v>20</v>
      </c>
      <c r="G42" s="2" t="n">
        <v>10</v>
      </c>
      <c r="H42" s="2" t="n">
        <v>5</v>
      </c>
      <c r="I42" s="2" t="n">
        <v>4</v>
      </c>
      <c r="J42" s="2" t="n">
        <v>2</v>
      </c>
      <c r="K42" s="2" t="inlineStr">
        <is>
          <t>Chu kỳ lặp</t>
        </is>
      </c>
    </row>
    <row r="43">
      <c r="A43" s="3" t="n">
        <v>5</v>
      </c>
      <c r="B43" s="4">
        <f>B26*60</f>
        <v/>
      </c>
      <c r="C43" s="4">
        <f>C26*60</f>
        <v/>
      </c>
      <c r="D43" s="4">
        <f>D26*60</f>
        <v/>
      </c>
      <c r="E43" s="4">
        <f>E26*60</f>
        <v/>
      </c>
      <c r="F43" s="4">
        <f>F26*60</f>
        <v/>
      </c>
      <c r="G43" s="4">
        <f>G26*60</f>
        <v/>
      </c>
      <c r="H43" s="4">
        <f>H26*60</f>
        <v/>
      </c>
      <c r="I43" s="4">
        <f>I26*60</f>
        <v/>
      </c>
      <c r="J43" s="4">
        <f>J26*60</f>
        <v/>
      </c>
      <c r="K43" s="5" t="n"/>
    </row>
    <row r="44">
      <c r="A44" s="3" t="n">
        <v>10</v>
      </c>
      <c r="B44" s="4">
        <f>B27*60</f>
        <v/>
      </c>
      <c r="C44" s="4">
        <f>C27*60</f>
        <v/>
      </c>
      <c r="D44" s="4">
        <f>D27*60</f>
        <v/>
      </c>
      <c r="E44" s="4">
        <f>E27*60</f>
        <v/>
      </c>
      <c r="F44" s="4">
        <f>F27*60</f>
        <v/>
      </c>
      <c r="G44" s="4">
        <f>G27*60</f>
        <v/>
      </c>
      <c r="H44" s="4">
        <f>H27*60</f>
        <v/>
      </c>
      <c r="I44" s="4">
        <f>I27*60</f>
        <v/>
      </c>
      <c r="J44" s="4">
        <f>J27*60</f>
        <v/>
      </c>
      <c r="K44" s="5" t="n"/>
    </row>
    <row r="45">
      <c r="A45" s="3" t="n">
        <v>15</v>
      </c>
      <c r="B45" s="4">
        <f>B28*60</f>
        <v/>
      </c>
      <c r="C45" s="4">
        <f>C28*60</f>
        <v/>
      </c>
      <c r="D45" s="4">
        <f>D28*60</f>
        <v/>
      </c>
      <c r="E45" s="4">
        <f>E28*60</f>
        <v/>
      </c>
      <c r="F45" s="4">
        <f>F28*60</f>
        <v/>
      </c>
      <c r="G45" s="4">
        <f>G28*60</f>
        <v/>
      </c>
      <c r="H45" s="4">
        <f>H28*60</f>
        <v/>
      </c>
      <c r="I45" s="4">
        <f>I28*60</f>
        <v/>
      </c>
      <c r="J45" s="4">
        <f>J28*60</f>
        <v/>
      </c>
      <c r="K45" s="5" t="n"/>
    </row>
    <row r="46">
      <c r="A46" s="3" t="n">
        <v>20</v>
      </c>
      <c r="B46" s="4">
        <f>B29*60</f>
        <v/>
      </c>
      <c r="C46" s="4">
        <f>C29*60</f>
        <v/>
      </c>
      <c r="D46" s="4">
        <f>D29*60</f>
        <v/>
      </c>
      <c r="E46" s="4">
        <f>E29*60</f>
        <v/>
      </c>
      <c r="F46" s="4">
        <f>F29*60</f>
        <v/>
      </c>
      <c r="G46" s="4">
        <f>G29*60</f>
        <v/>
      </c>
      <c r="H46" s="4">
        <f>H29*60</f>
        <v/>
      </c>
      <c r="I46" s="4">
        <f>I29*60</f>
        <v/>
      </c>
      <c r="J46" s="4">
        <f>J29*60</f>
        <v/>
      </c>
      <c r="K46" s="5" t="n"/>
    </row>
    <row r="47">
      <c r="A47" s="3" t="n">
        <v>30</v>
      </c>
      <c r="B47" s="4">
        <f>B30*60</f>
        <v/>
      </c>
      <c r="C47" s="4">
        <f>C30*60</f>
        <v/>
      </c>
      <c r="D47" s="4">
        <f>D30*60</f>
        <v/>
      </c>
      <c r="E47" s="4">
        <f>E30*60</f>
        <v/>
      </c>
      <c r="F47" s="4">
        <f>F30*60</f>
        <v/>
      </c>
      <c r="G47" s="4">
        <f>G30*60</f>
        <v/>
      </c>
      <c r="H47" s="4">
        <f>H30*60</f>
        <v/>
      </c>
      <c r="I47" s="4">
        <f>I30*60</f>
        <v/>
      </c>
      <c r="J47" s="4">
        <f>J30*60</f>
        <v/>
      </c>
      <c r="K47" s="5" t="n"/>
    </row>
    <row r="48">
      <c r="A48" s="3" t="n">
        <v>45</v>
      </c>
      <c r="B48" s="4">
        <f>B31*60</f>
        <v/>
      </c>
      <c r="C48" s="4">
        <f>C31*60</f>
        <v/>
      </c>
      <c r="D48" s="4">
        <f>D31*60</f>
        <v/>
      </c>
      <c r="E48" s="4">
        <f>E31*60</f>
        <v/>
      </c>
      <c r="F48" s="4">
        <f>F31*60</f>
        <v/>
      </c>
      <c r="G48" s="4">
        <f>G31*60</f>
        <v/>
      </c>
      <c r="H48" s="4">
        <f>H31*60</f>
        <v/>
      </c>
      <c r="I48" s="4">
        <f>I31*60</f>
        <v/>
      </c>
      <c r="J48" s="4">
        <f>J31*60</f>
        <v/>
      </c>
      <c r="K48" s="5" t="n"/>
    </row>
    <row r="49">
      <c r="A49" s="3" t="n">
        <v>60</v>
      </c>
      <c r="B49" s="4">
        <f>B32*60</f>
        <v/>
      </c>
      <c r="C49" s="4">
        <f>C32*60</f>
        <v/>
      </c>
      <c r="D49" s="4">
        <f>D32*60</f>
        <v/>
      </c>
      <c r="E49" s="4">
        <f>E32*60</f>
        <v/>
      </c>
      <c r="F49" s="4">
        <f>F32*60</f>
        <v/>
      </c>
      <c r="G49" s="4">
        <f>G32*60</f>
        <v/>
      </c>
      <c r="H49" s="4">
        <f>H32*60</f>
        <v/>
      </c>
      <c r="I49" s="4">
        <f>I32*60</f>
        <v/>
      </c>
      <c r="J49" s="4">
        <f>J32*60</f>
        <v/>
      </c>
      <c r="K49" s="5" t="n"/>
    </row>
    <row r="50">
      <c r="A50" s="3" t="n">
        <v>90</v>
      </c>
      <c r="B50" s="4">
        <f>B33*60</f>
        <v/>
      </c>
      <c r="C50" s="4">
        <f>C33*60</f>
        <v/>
      </c>
      <c r="D50" s="4">
        <f>D33*60</f>
        <v/>
      </c>
      <c r="E50" s="4">
        <f>E33*60</f>
        <v/>
      </c>
      <c r="F50" s="4">
        <f>F33*60</f>
        <v/>
      </c>
      <c r="G50" s="4">
        <f>G33*60</f>
        <v/>
      </c>
      <c r="H50" s="4">
        <f>H33*60</f>
        <v/>
      </c>
      <c r="I50" s="4">
        <f>I33*60</f>
        <v/>
      </c>
      <c r="J50" s="4">
        <f>J33*60</f>
        <v/>
      </c>
      <c r="K50" s="5" t="n"/>
    </row>
    <row r="51">
      <c r="A51" s="3" t="n">
        <v>120</v>
      </c>
      <c r="B51" s="4">
        <f>B34*60</f>
        <v/>
      </c>
      <c r="C51" s="4">
        <f>C34*60</f>
        <v/>
      </c>
      <c r="D51" s="4">
        <f>D34*60</f>
        <v/>
      </c>
      <c r="E51" s="4">
        <f>E34*60</f>
        <v/>
      </c>
      <c r="F51" s="4">
        <f>F34*60</f>
        <v/>
      </c>
      <c r="G51" s="4">
        <f>G34*60</f>
        <v/>
      </c>
      <c r="H51" s="4">
        <f>H34*60</f>
        <v/>
      </c>
      <c r="I51" s="4">
        <f>I34*60</f>
        <v/>
      </c>
      <c r="J51" s="4">
        <f>J34*60</f>
        <v/>
      </c>
      <c r="K51" s="5" t="n"/>
    </row>
    <row r="52">
      <c r="A52" s="3" t="n">
        <v>180</v>
      </c>
      <c r="B52" s="4">
        <f>B35*60</f>
        <v/>
      </c>
      <c r="C52" s="4">
        <f>C35*60</f>
        <v/>
      </c>
      <c r="D52" s="4">
        <f>D35*60</f>
        <v/>
      </c>
      <c r="E52" s="4">
        <f>E35*60</f>
        <v/>
      </c>
      <c r="F52" s="4">
        <f>F35*60</f>
        <v/>
      </c>
      <c r="G52" s="4">
        <f>G35*60</f>
        <v/>
      </c>
      <c r="H52" s="4">
        <f>H35*60</f>
        <v/>
      </c>
      <c r="I52" s="4">
        <f>I35*60</f>
        <v/>
      </c>
      <c r="J52" s="4">
        <f>J35*60</f>
        <v/>
      </c>
      <c r="K52" s="5" t="n"/>
    </row>
    <row r="53">
      <c r="A53" s="3" t="n">
        <v>360</v>
      </c>
      <c r="B53" s="4">
        <f>B36*60</f>
        <v/>
      </c>
      <c r="C53" s="4">
        <f>C36*60</f>
        <v/>
      </c>
      <c r="D53" s="4">
        <f>D36*60</f>
        <v/>
      </c>
      <c r="E53" s="4">
        <f>E36*60</f>
        <v/>
      </c>
      <c r="F53" s="4">
        <f>F36*60</f>
        <v/>
      </c>
      <c r="G53" s="4">
        <f>G36*60</f>
        <v/>
      </c>
      <c r="H53" s="4">
        <f>H36*60</f>
        <v/>
      </c>
      <c r="I53" s="4">
        <f>I36*60</f>
        <v/>
      </c>
      <c r="J53" s="4">
        <f>J36*60</f>
        <v/>
      </c>
      <c r="K53" s="5" t="n"/>
    </row>
    <row r="57">
      <c r="A57" s="2" t="inlineStr">
        <is>
          <t>Thời đoạn</t>
        </is>
      </c>
      <c r="B57" s="2" t="inlineStr">
        <is>
          <t>Cường độ mưa q (l/s/ha) tương ứng với chu kỳ lặp lại N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>
      <c r="A58" s="2" t="inlineStr">
        <is>
          <t>t (phút)</t>
        </is>
      </c>
      <c r="B58" s="2" t="inlineStr">
        <is>
          <t>1.00</t>
        </is>
      </c>
      <c r="C58" s="2" t="inlineStr">
        <is>
          <t>2.00</t>
        </is>
      </c>
      <c r="D58" s="2" t="inlineStr">
        <is>
          <t>3.00</t>
        </is>
      </c>
      <c r="E58" s="2" t="inlineStr">
        <is>
          <t>4.00</t>
        </is>
      </c>
      <c r="F58" s="2" t="inlineStr">
        <is>
          <t>5.00</t>
        </is>
      </c>
      <c r="G58" s="2" t="inlineStr">
        <is>
          <t>10.00</t>
        </is>
      </c>
      <c r="H58" s="2" t="inlineStr">
        <is>
          <t>20.00</t>
        </is>
      </c>
      <c r="I58" s="2" t="inlineStr">
        <is>
          <t>25.00</t>
        </is>
      </c>
      <c r="J58" s="2" t="inlineStr">
        <is>
          <t>50.00</t>
        </is>
      </c>
      <c r="K58" s="2" t="inlineStr">
        <is>
          <t>Tần suất%</t>
        </is>
      </c>
    </row>
    <row r="59">
      <c r="A59" s="2" t="n"/>
      <c r="B59" s="2" t="n">
        <v>100</v>
      </c>
      <c r="C59" s="2" t="n">
        <v>50</v>
      </c>
      <c r="D59" s="2" t="n">
        <v>33.3</v>
      </c>
      <c r="E59" s="2" t="n">
        <v>25</v>
      </c>
      <c r="F59" s="2" t="n">
        <v>20</v>
      </c>
      <c r="G59" s="2" t="n">
        <v>10</v>
      </c>
      <c r="H59" s="2" t="n">
        <v>5</v>
      </c>
      <c r="I59" s="2" t="n">
        <v>4</v>
      </c>
      <c r="J59" s="2" t="n">
        <v>2</v>
      </c>
      <c r="K59" s="2" t="inlineStr">
        <is>
          <t>Chu kỳ lặp</t>
        </is>
      </c>
    </row>
    <row r="60">
      <c r="A60" s="3" t="n">
        <v>5</v>
      </c>
      <c r="B60" s="4">
        <f>166.7*B26</f>
        <v/>
      </c>
      <c r="C60" s="4">
        <f>166.7*C26</f>
        <v/>
      </c>
      <c r="D60" s="4">
        <f>166.7*D26</f>
        <v/>
      </c>
      <c r="E60" s="4">
        <f>166.7*E26</f>
        <v/>
      </c>
      <c r="F60" s="4">
        <f>166.7*F26</f>
        <v/>
      </c>
      <c r="G60" s="4">
        <f>166.7*G26</f>
        <v/>
      </c>
      <c r="H60" s="4">
        <f>166.7*H26</f>
        <v/>
      </c>
      <c r="I60" s="4">
        <f>166.7*I26</f>
        <v/>
      </c>
      <c r="J60" s="4">
        <f>166.7*J26</f>
        <v/>
      </c>
      <c r="K60" s="5" t="n"/>
    </row>
    <row r="61">
      <c r="A61" s="3" t="n">
        <v>10</v>
      </c>
      <c r="B61" s="4">
        <f>166.7*B27</f>
        <v/>
      </c>
      <c r="C61" s="4">
        <f>166.7*C27</f>
        <v/>
      </c>
      <c r="D61" s="4">
        <f>166.7*D27</f>
        <v/>
      </c>
      <c r="E61" s="4">
        <f>166.7*E27</f>
        <v/>
      </c>
      <c r="F61" s="4">
        <f>166.7*F27</f>
        <v/>
      </c>
      <c r="G61" s="4">
        <f>166.7*G27</f>
        <v/>
      </c>
      <c r="H61" s="4">
        <f>166.7*H27</f>
        <v/>
      </c>
      <c r="I61" s="4">
        <f>166.7*I27</f>
        <v/>
      </c>
      <c r="J61" s="4">
        <f>166.7*J27</f>
        <v/>
      </c>
      <c r="K61" s="5" t="n"/>
    </row>
    <row r="62">
      <c r="A62" s="3" t="n">
        <v>15</v>
      </c>
      <c r="B62" s="4">
        <f>166.7*B28</f>
        <v/>
      </c>
      <c r="C62" s="4">
        <f>166.7*C28</f>
        <v/>
      </c>
      <c r="D62" s="4">
        <f>166.7*D28</f>
        <v/>
      </c>
      <c r="E62" s="4">
        <f>166.7*E28</f>
        <v/>
      </c>
      <c r="F62" s="4">
        <f>166.7*F28</f>
        <v/>
      </c>
      <c r="G62" s="4">
        <f>166.7*G28</f>
        <v/>
      </c>
      <c r="H62" s="4">
        <f>166.7*H28</f>
        <v/>
      </c>
      <c r="I62" s="4">
        <f>166.7*I28</f>
        <v/>
      </c>
      <c r="J62" s="4">
        <f>166.7*J28</f>
        <v/>
      </c>
      <c r="K62" s="5" t="n"/>
    </row>
    <row r="63">
      <c r="A63" s="3" t="n">
        <v>20</v>
      </c>
      <c r="B63" s="4">
        <f>166.7*B29</f>
        <v/>
      </c>
      <c r="C63" s="4">
        <f>166.7*C29</f>
        <v/>
      </c>
      <c r="D63" s="4">
        <f>166.7*D29</f>
        <v/>
      </c>
      <c r="E63" s="4">
        <f>166.7*E29</f>
        <v/>
      </c>
      <c r="F63" s="4">
        <f>166.7*F29</f>
        <v/>
      </c>
      <c r="G63" s="4">
        <f>166.7*G29</f>
        <v/>
      </c>
      <c r="H63" s="4">
        <f>166.7*H29</f>
        <v/>
      </c>
      <c r="I63" s="4">
        <f>166.7*I29</f>
        <v/>
      </c>
      <c r="J63" s="4">
        <f>166.7*J29</f>
        <v/>
      </c>
      <c r="K63" s="5" t="n"/>
    </row>
    <row r="64">
      <c r="A64" s="3" t="n">
        <v>30</v>
      </c>
      <c r="B64" s="4">
        <f>166.7*B30</f>
        <v/>
      </c>
      <c r="C64" s="4">
        <f>166.7*C30</f>
        <v/>
      </c>
      <c r="D64" s="4">
        <f>166.7*D30</f>
        <v/>
      </c>
      <c r="E64" s="4">
        <f>166.7*E30</f>
        <v/>
      </c>
      <c r="F64" s="4">
        <f>166.7*F30</f>
        <v/>
      </c>
      <c r="G64" s="4">
        <f>166.7*G30</f>
        <v/>
      </c>
      <c r="H64" s="4">
        <f>166.7*H30</f>
        <v/>
      </c>
      <c r="I64" s="4">
        <f>166.7*I30</f>
        <v/>
      </c>
      <c r="J64" s="4">
        <f>166.7*J30</f>
        <v/>
      </c>
      <c r="K64" s="5" t="n"/>
    </row>
    <row r="65">
      <c r="A65" s="3" t="n">
        <v>45</v>
      </c>
      <c r="B65" s="4">
        <f>166.7*B31</f>
        <v/>
      </c>
      <c r="C65" s="4">
        <f>166.7*C31</f>
        <v/>
      </c>
      <c r="D65" s="4">
        <f>166.7*D31</f>
        <v/>
      </c>
      <c r="E65" s="4">
        <f>166.7*E31</f>
        <v/>
      </c>
      <c r="F65" s="4">
        <f>166.7*F31</f>
        <v/>
      </c>
      <c r="G65" s="4">
        <f>166.7*G31</f>
        <v/>
      </c>
      <c r="H65" s="4">
        <f>166.7*H31</f>
        <v/>
      </c>
      <c r="I65" s="4">
        <f>166.7*I31</f>
        <v/>
      </c>
      <c r="J65" s="4">
        <f>166.7*J31</f>
        <v/>
      </c>
      <c r="K65" s="5" t="n"/>
    </row>
    <row r="66">
      <c r="A66" s="3" t="n">
        <v>60</v>
      </c>
      <c r="B66" s="4">
        <f>166.7*B32</f>
        <v/>
      </c>
      <c r="C66" s="4">
        <f>166.7*C32</f>
        <v/>
      </c>
      <c r="D66" s="4">
        <f>166.7*D32</f>
        <v/>
      </c>
      <c r="E66" s="4">
        <f>166.7*E32</f>
        <v/>
      </c>
      <c r="F66" s="4">
        <f>166.7*F32</f>
        <v/>
      </c>
      <c r="G66" s="4">
        <f>166.7*G32</f>
        <v/>
      </c>
      <c r="H66" s="4">
        <f>166.7*H32</f>
        <v/>
      </c>
      <c r="I66" s="4">
        <f>166.7*I32</f>
        <v/>
      </c>
      <c r="J66" s="4">
        <f>166.7*J32</f>
        <v/>
      </c>
      <c r="K66" s="5" t="n"/>
    </row>
    <row r="67">
      <c r="A67" s="3" t="n">
        <v>90</v>
      </c>
      <c r="B67" s="4">
        <f>166.7*B33</f>
        <v/>
      </c>
      <c r="C67" s="4">
        <f>166.7*C33</f>
        <v/>
      </c>
      <c r="D67" s="4">
        <f>166.7*D33</f>
        <v/>
      </c>
      <c r="E67" s="4">
        <f>166.7*E33</f>
        <v/>
      </c>
      <c r="F67" s="4">
        <f>166.7*F33</f>
        <v/>
      </c>
      <c r="G67" s="4">
        <f>166.7*G33</f>
        <v/>
      </c>
      <c r="H67" s="4">
        <f>166.7*H33</f>
        <v/>
      </c>
      <c r="I67" s="4">
        <f>166.7*I33</f>
        <v/>
      </c>
      <c r="J67" s="4">
        <f>166.7*J33</f>
        <v/>
      </c>
      <c r="K67" s="5" t="n"/>
    </row>
    <row r="68">
      <c r="A68" s="3" t="n">
        <v>120</v>
      </c>
      <c r="B68" s="4">
        <f>166.7*B34</f>
        <v/>
      </c>
      <c r="C68" s="4">
        <f>166.7*C34</f>
        <v/>
      </c>
      <c r="D68" s="4">
        <f>166.7*D34</f>
        <v/>
      </c>
      <c r="E68" s="4">
        <f>166.7*E34</f>
        <v/>
      </c>
      <c r="F68" s="4">
        <f>166.7*F34</f>
        <v/>
      </c>
      <c r="G68" s="4">
        <f>166.7*G34</f>
        <v/>
      </c>
      <c r="H68" s="4">
        <f>166.7*H34</f>
        <v/>
      </c>
      <c r="I68" s="4">
        <f>166.7*I34</f>
        <v/>
      </c>
      <c r="J68" s="4">
        <f>166.7*J34</f>
        <v/>
      </c>
      <c r="K68" s="5" t="n"/>
    </row>
    <row r="69">
      <c r="A69" s="3" t="n">
        <v>180</v>
      </c>
      <c r="B69" s="4">
        <f>166.7*B35</f>
        <v/>
      </c>
      <c r="C69" s="4">
        <f>166.7*C35</f>
        <v/>
      </c>
      <c r="D69" s="4">
        <f>166.7*D35</f>
        <v/>
      </c>
      <c r="E69" s="4">
        <f>166.7*E35</f>
        <v/>
      </c>
      <c r="F69" s="4">
        <f>166.7*F35</f>
        <v/>
      </c>
      <c r="G69" s="4">
        <f>166.7*G35</f>
        <v/>
      </c>
      <c r="H69" s="4">
        <f>166.7*H35</f>
        <v/>
      </c>
      <c r="I69" s="4">
        <f>166.7*I35</f>
        <v/>
      </c>
      <c r="J69" s="4">
        <f>166.7*J35</f>
        <v/>
      </c>
      <c r="K69" s="5" t="n"/>
    </row>
    <row r="70">
      <c r="A70" s="3" t="n">
        <v>360</v>
      </c>
      <c r="B70" s="4">
        <f>166.7*B36</f>
        <v/>
      </c>
      <c r="C70" s="4">
        <f>166.7*C36</f>
        <v/>
      </c>
      <c r="D70" s="4">
        <f>166.7*D36</f>
        <v/>
      </c>
      <c r="E70" s="4">
        <f>166.7*E36</f>
        <v/>
      </c>
      <c r="F70" s="4">
        <f>166.7*F36</f>
        <v/>
      </c>
      <c r="G70" s="4">
        <f>166.7*G36</f>
        <v/>
      </c>
      <c r="H70" s="4">
        <f>166.7*H36</f>
        <v/>
      </c>
      <c r="I70" s="4">
        <f>166.7*I36</f>
        <v/>
      </c>
      <c r="J70" s="4">
        <f>166.7*J36</f>
        <v/>
      </c>
      <c r="K70" s="5" t="n"/>
    </row>
  </sheetData>
  <mergeCells count="10">
    <mergeCell ref="B23:K23"/>
    <mergeCell ref="A24:A25"/>
    <mergeCell ref="B57:K57"/>
    <mergeCell ref="A3:K3"/>
    <mergeCell ref="B40:K40"/>
    <mergeCell ref="A2:K2"/>
    <mergeCell ref="A7:A8"/>
    <mergeCell ref="A41:A42"/>
    <mergeCell ref="B6:K6"/>
    <mergeCell ref="A58:A5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K30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2">
      <c r="A2" s="7" t="inlineStr">
        <is>
          <t>PHÂN TÍCH TẦN SUẤT THỜI ĐOẠN 5 PHÚT (X_tb=19.09mm, Cv=0.202, Cs=0.707)</t>
        </is>
      </c>
    </row>
    <row r="3">
      <c r="A3" s="8" t="inlineStr">
        <is>
          <t>Bảng Tần Suất Kinh Nghiệm (Weibull)</t>
        </is>
      </c>
      <c r="F3" s="8" t="inlineStr">
        <is>
          <t>Bảng Tần Suất Lý Luận (Pearson III)</t>
        </is>
      </c>
    </row>
    <row r="4">
      <c r="A4" s="9" t="inlineStr">
        <is>
          <t>Hạng (m)</t>
        </is>
      </c>
      <c r="B4" s="9" t="inlineStr">
        <is>
          <t>Năm</t>
        </is>
      </c>
      <c r="C4" s="9" t="inlineStr">
        <is>
          <t>H (mm)</t>
        </is>
      </c>
      <c r="D4" s="9" t="inlineStr">
        <is>
          <t>P_kinh_nghiệm (%)</t>
        </is>
      </c>
      <c r="F4" s="9" t="inlineStr">
        <is>
          <t>Tần suất P (%)</t>
        </is>
      </c>
      <c r="G4" s="9" t="inlineStr">
        <is>
          <t>Chu kỳ T (năm)</t>
        </is>
      </c>
      <c r="H4" s="9" t="inlineStr">
        <is>
          <t>H_p (mm)</t>
        </is>
      </c>
      <c r="I4" s="9" t="inlineStr">
        <is>
          <t>I (mm/phút)</t>
        </is>
      </c>
      <c r="J4" s="9" t="inlineStr">
        <is>
          <t>I (mm/h)</t>
        </is>
      </c>
      <c r="K4" s="9" t="inlineStr">
        <is>
          <t>q (l/s.ha)</t>
        </is>
      </c>
    </row>
    <row r="5">
      <c r="A5" s="10" t="n">
        <v>1</v>
      </c>
      <c r="B5" s="10" t="n">
        <v>2019</v>
      </c>
      <c r="C5" s="11" t="n">
        <v>28.5</v>
      </c>
      <c r="D5" s="11" t="n">
        <v>4.17</v>
      </c>
      <c r="F5" s="11" t="n">
        <v>0.1</v>
      </c>
      <c r="G5" s="10" t="n">
        <v>1000</v>
      </c>
      <c r="H5" s="11" t="n">
        <v>34.95</v>
      </c>
      <c r="I5" s="12" t="n">
        <v>6.989</v>
      </c>
      <c r="J5" s="11" t="n">
        <v>419.37</v>
      </c>
      <c r="K5" s="11" t="n">
        <v>1165.15</v>
      </c>
    </row>
    <row r="6">
      <c r="A6" s="10" t="n">
        <v>2</v>
      </c>
      <c r="B6" s="10" t="n">
        <v>2015</v>
      </c>
      <c r="C6" s="11" t="n">
        <v>24.6</v>
      </c>
      <c r="D6" s="11" t="n">
        <v>8.33</v>
      </c>
      <c r="F6" s="11" t="n">
        <v>0.5</v>
      </c>
      <c r="G6" s="10" t="n">
        <v>200</v>
      </c>
      <c r="H6" s="11" t="n">
        <v>31.55</v>
      </c>
      <c r="I6" s="12" t="n">
        <v>6.309</v>
      </c>
      <c r="J6" s="11" t="n">
        <v>378.56</v>
      </c>
      <c r="K6" s="11" t="n">
        <v>1051.77</v>
      </c>
    </row>
    <row r="7">
      <c r="A7" s="10" t="n">
        <v>3</v>
      </c>
      <c r="B7" s="10" t="n">
        <v>2009</v>
      </c>
      <c r="C7" s="11" t="n">
        <v>23.8</v>
      </c>
      <c r="D7" s="11" t="n">
        <v>12.5</v>
      </c>
      <c r="F7" s="11" t="n">
        <v>1</v>
      </c>
      <c r="G7" s="10" t="n">
        <v>100</v>
      </c>
      <c r="H7" s="11" t="n">
        <v>30</v>
      </c>
      <c r="I7" s="12" t="n">
        <v>6</v>
      </c>
      <c r="J7" s="11" t="n">
        <v>360</v>
      </c>
      <c r="K7" s="11" t="n">
        <v>1000.21</v>
      </c>
    </row>
    <row r="8">
      <c r="A8" s="10" t="n">
        <v>4</v>
      </c>
      <c r="B8" s="10" t="n">
        <v>2013</v>
      </c>
      <c r="C8" s="11" t="n">
        <v>21.5</v>
      </c>
      <c r="D8" s="11" t="n">
        <v>16.67</v>
      </c>
      <c r="F8" s="11" t="n">
        <v>2</v>
      </c>
      <c r="G8" s="10" t="n">
        <v>50</v>
      </c>
      <c r="H8" s="11" t="n">
        <v>28.39</v>
      </c>
      <c r="I8" s="12" t="n">
        <v>5.677</v>
      </c>
      <c r="J8" s="11" t="n">
        <v>340.63</v>
      </c>
      <c r="K8" s="11" t="n">
        <v>946.38</v>
      </c>
    </row>
    <row r="9">
      <c r="A9" s="10" t="n">
        <v>5</v>
      </c>
      <c r="B9" s="10" t="n">
        <v>2011</v>
      </c>
      <c r="C9" s="11" t="n">
        <v>21</v>
      </c>
      <c r="D9" s="11" t="n">
        <v>20.83</v>
      </c>
      <c r="F9" s="11" t="n">
        <v>3</v>
      </c>
      <c r="G9" s="10" t="n">
        <v>33.3</v>
      </c>
      <c r="H9" s="11" t="n">
        <v>27.4</v>
      </c>
      <c r="I9" s="12" t="n">
        <v>5.48</v>
      </c>
      <c r="J9" s="11" t="n">
        <v>328.82</v>
      </c>
      <c r="K9" s="11" t="n">
        <v>913.5700000000001</v>
      </c>
    </row>
    <row r="10">
      <c r="A10" s="10" t="n">
        <v>6</v>
      </c>
      <c r="B10" s="10" t="n">
        <v>2004</v>
      </c>
      <c r="C10" s="11" t="n">
        <v>20.5</v>
      </c>
      <c r="D10" s="11" t="n">
        <v>25</v>
      </c>
      <c r="F10" s="11" t="n">
        <v>4</v>
      </c>
      <c r="G10" s="10" t="n">
        <v>25</v>
      </c>
      <c r="H10" s="11" t="n">
        <v>26.68</v>
      </c>
      <c r="I10" s="12" t="n">
        <v>5.336</v>
      </c>
      <c r="J10" s="11" t="n">
        <v>320.18</v>
      </c>
      <c r="K10" s="11" t="n">
        <v>889.58</v>
      </c>
    </row>
    <row r="11">
      <c r="A11" s="10" t="n">
        <v>7</v>
      </c>
      <c r="B11" s="10" t="n">
        <v>2020</v>
      </c>
      <c r="C11" s="11" t="n">
        <v>20.5</v>
      </c>
      <c r="D11" s="11" t="n">
        <v>29.17</v>
      </c>
      <c r="F11" s="11" t="n">
        <v>5</v>
      </c>
      <c r="G11" s="10" t="n">
        <v>20</v>
      </c>
      <c r="H11" s="11" t="n">
        <v>26.11</v>
      </c>
      <c r="I11" s="12" t="n">
        <v>5.222</v>
      </c>
      <c r="J11" s="11" t="n">
        <v>313.31</v>
      </c>
      <c r="K11" s="11" t="n">
        <v>870.49</v>
      </c>
    </row>
    <row r="12">
      <c r="A12" s="10" t="n">
        <v>8</v>
      </c>
      <c r="B12" s="10" t="n">
        <v>2018</v>
      </c>
      <c r="C12" s="11" t="n">
        <v>20.3</v>
      </c>
      <c r="D12" s="11" t="n">
        <v>33.33</v>
      </c>
      <c r="F12" s="11" t="n">
        <v>10</v>
      </c>
      <c r="G12" s="10" t="n">
        <v>10</v>
      </c>
      <c r="H12" s="11" t="n">
        <v>24.23</v>
      </c>
      <c r="I12" s="12" t="n">
        <v>4.846</v>
      </c>
      <c r="J12" s="11" t="n">
        <v>290.77</v>
      </c>
      <c r="K12" s="11" t="n">
        <v>807.85</v>
      </c>
    </row>
    <row r="13">
      <c r="A13" s="10" t="n">
        <v>9</v>
      </c>
      <c r="B13" s="10" t="n">
        <v>2012</v>
      </c>
      <c r="C13" s="11" t="n">
        <v>20</v>
      </c>
      <c r="D13" s="11" t="n">
        <v>37.5</v>
      </c>
      <c r="F13" s="11" t="n">
        <v>20</v>
      </c>
      <c r="G13" s="10" t="n">
        <v>5</v>
      </c>
      <c r="H13" s="11" t="n">
        <v>22.13</v>
      </c>
      <c r="I13" s="12" t="n">
        <v>4.426</v>
      </c>
      <c r="J13" s="11" t="n">
        <v>265.59</v>
      </c>
      <c r="K13" s="11" t="n">
        <v>737.88</v>
      </c>
    </row>
    <row r="14">
      <c r="A14" s="10" t="n">
        <v>10</v>
      </c>
      <c r="B14" s="10" t="n">
        <v>2025</v>
      </c>
      <c r="C14" s="11" t="n">
        <v>19.8</v>
      </c>
      <c r="D14" s="11" t="n">
        <v>41.67</v>
      </c>
      <c r="F14" s="11" t="n">
        <v>25</v>
      </c>
      <c r="G14" s="10" t="n">
        <v>4</v>
      </c>
      <c r="H14" s="11" t="n">
        <v>21.38</v>
      </c>
      <c r="I14" s="12" t="n">
        <v>4.277</v>
      </c>
      <c r="J14" s="11" t="n">
        <v>256.61</v>
      </c>
      <c r="K14" s="11" t="n">
        <v>712.96</v>
      </c>
    </row>
    <row r="15">
      <c r="A15" s="10" t="n">
        <v>11</v>
      </c>
      <c r="B15" s="10" t="n">
        <v>2023</v>
      </c>
      <c r="C15" s="11" t="n">
        <v>19.8</v>
      </c>
      <c r="D15" s="11" t="n">
        <v>45.83</v>
      </c>
      <c r="F15" s="11" t="n">
        <v>33.3</v>
      </c>
      <c r="G15" s="10" t="n">
        <v>3</v>
      </c>
      <c r="H15" s="11" t="n">
        <v>20.35</v>
      </c>
      <c r="I15" s="12" t="n">
        <v>4.069</v>
      </c>
      <c r="J15" s="11" t="n">
        <v>244.15</v>
      </c>
      <c r="K15" s="11" t="n">
        <v>678.3200000000001</v>
      </c>
    </row>
    <row r="16">
      <c r="A16" s="10" t="n">
        <v>12</v>
      </c>
      <c r="B16" s="10" t="n">
        <v>2005</v>
      </c>
      <c r="C16" s="11" t="n">
        <v>19.8</v>
      </c>
      <c r="D16" s="11" t="n">
        <v>50</v>
      </c>
      <c r="F16" s="11" t="n">
        <v>50</v>
      </c>
      <c r="G16" s="10" t="n">
        <v>2</v>
      </c>
      <c r="H16" s="11" t="n">
        <v>18.64</v>
      </c>
      <c r="I16" s="12" t="n">
        <v>3.727</v>
      </c>
      <c r="J16" s="11" t="n">
        <v>223.63</v>
      </c>
      <c r="K16" s="11" t="n">
        <v>621.3099999999999</v>
      </c>
    </row>
    <row r="17">
      <c r="A17" s="10" t="n">
        <v>13</v>
      </c>
      <c r="B17" s="10" t="n">
        <v>2022</v>
      </c>
      <c r="C17" s="11" t="n">
        <v>19.6</v>
      </c>
      <c r="D17" s="11" t="n">
        <v>54.17</v>
      </c>
      <c r="F17" s="11" t="n">
        <v>75</v>
      </c>
      <c r="G17" s="10" t="n">
        <v>1.3</v>
      </c>
      <c r="H17" s="11" t="n">
        <v>16.3</v>
      </c>
      <c r="I17" s="12" t="n">
        <v>3.26</v>
      </c>
      <c r="J17" s="11" t="n">
        <v>195.59</v>
      </c>
      <c r="K17" s="11" t="n">
        <v>543.41</v>
      </c>
    </row>
    <row r="18">
      <c r="A18" s="10" t="n">
        <v>14</v>
      </c>
      <c r="B18" s="10" t="n">
        <v>2024</v>
      </c>
      <c r="C18" s="11" t="n">
        <v>19.6</v>
      </c>
      <c r="D18" s="11" t="n">
        <v>58.33</v>
      </c>
      <c r="F18" s="11" t="n">
        <v>90</v>
      </c>
      <c r="G18" s="10" t="n">
        <v>1.1</v>
      </c>
      <c r="H18" s="11" t="n">
        <v>14.53</v>
      </c>
      <c r="I18" s="12" t="n">
        <v>2.905</v>
      </c>
      <c r="J18" s="11" t="n">
        <v>174.31</v>
      </c>
      <c r="K18" s="11" t="n">
        <v>484.3</v>
      </c>
    </row>
    <row r="19">
      <c r="A19" s="10" t="n">
        <v>15</v>
      </c>
      <c r="B19" s="10" t="n">
        <v>2021</v>
      </c>
      <c r="C19" s="11" t="n">
        <v>19.4</v>
      </c>
      <c r="D19" s="11" t="n">
        <v>62.5</v>
      </c>
      <c r="F19" s="11" t="n">
        <v>95</v>
      </c>
      <c r="G19" s="10" t="n">
        <v>1.1</v>
      </c>
      <c r="H19" s="11" t="n">
        <v>13.61</v>
      </c>
      <c r="I19" s="12" t="n">
        <v>2.721</v>
      </c>
      <c r="J19" s="11" t="n">
        <v>163.26</v>
      </c>
      <c r="K19" s="11" t="n">
        <v>453.59</v>
      </c>
    </row>
    <row r="20">
      <c r="A20" s="10" t="n">
        <v>16</v>
      </c>
      <c r="B20" s="10" t="n">
        <v>2014</v>
      </c>
      <c r="C20" s="11" t="n">
        <v>18.2</v>
      </c>
      <c r="D20" s="11" t="n">
        <v>66.67</v>
      </c>
    </row>
    <row r="21">
      <c r="A21" s="10" t="n">
        <v>17</v>
      </c>
      <c r="B21" s="10" t="n">
        <v>2016</v>
      </c>
      <c r="C21" s="11" t="n">
        <v>16.5</v>
      </c>
      <c r="D21" s="11" t="n">
        <v>70.83</v>
      </c>
    </row>
    <row r="22">
      <c r="A22" s="10" t="n">
        <v>18</v>
      </c>
      <c r="B22" s="10" t="n">
        <v>2010</v>
      </c>
      <c r="C22" s="11" t="n">
        <v>16.3</v>
      </c>
      <c r="D22" s="11" t="n">
        <v>75</v>
      </c>
    </row>
    <row r="23">
      <c r="A23" s="10" t="n">
        <v>19</v>
      </c>
      <c r="B23" s="10" t="n">
        <v>2008</v>
      </c>
      <c r="C23" s="11" t="n">
        <v>16.2</v>
      </c>
      <c r="D23" s="11" t="n">
        <v>79.17</v>
      </c>
    </row>
    <row r="24">
      <c r="A24" s="10" t="n">
        <v>20</v>
      </c>
      <c r="B24" s="10" t="n">
        <v>2003</v>
      </c>
      <c r="C24" s="11" t="n">
        <v>15.2</v>
      </c>
      <c r="D24" s="11" t="n">
        <v>83.33</v>
      </c>
    </row>
    <row r="25">
      <c r="A25" s="10" t="n">
        <v>21</v>
      </c>
      <c r="B25" s="10" t="n">
        <v>2007</v>
      </c>
      <c r="C25" s="11" t="n">
        <v>13.8</v>
      </c>
      <c r="D25" s="11" t="n">
        <v>87.5</v>
      </c>
    </row>
    <row r="26">
      <c r="A26" s="10" t="n">
        <v>22</v>
      </c>
      <c r="B26" s="10" t="n">
        <v>2017</v>
      </c>
      <c r="C26" s="11" t="n">
        <v>13.2</v>
      </c>
      <c r="D26" s="11" t="n">
        <v>91.67</v>
      </c>
    </row>
    <row r="27">
      <c r="A27" s="10" t="n">
        <v>23</v>
      </c>
      <c r="B27" s="10" t="n">
        <v>2006</v>
      </c>
      <c r="C27" s="11" t="n">
        <v>10.9</v>
      </c>
      <c r="D27" s="11" t="n">
        <v>95.83</v>
      </c>
    </row>
    <row r="30">
      <c r="A30" s="7" t="inlineStr">
        <is>
          <t>PHÂN TÍCH TẦN SUẤT THỜI ĐOẠN 10 PHÚT (X_tb=29.81mm, Cv=0.179, Cs=0.628)</t>
        </is>
      </c>
    </row>
    <row r="31">
      <c r="A31" s="8" t="inlineStr">
        <is>
          <t>Bảng Tần Suất Kinh Nghiệm (Weibull)</t>
        </is>
      </c>
      <c r="F31" s="8" t="inlineStr">
        <is>
          <t>Bảng Tần Suất Lý Luận (Pearson III)</t>
        </is>
      </c>
    </row>
    <row r="32">
      <c r="A32" s="9" t="inlineStr">
        <is>
          <t>Hạng (m)</t>
        </is>
      </c>
      <c r="B32" s="9" t="inlineStr">
        <is>
          <t>Năm</t>
        </is>
      </c>
      <c r="C32" s="9" t="inlineStr">
        <is>
          <t>H (mm)</t>
        </is>
      </c>
      <c r="D32" s="9" t="inlineStr">
        <is>
          <t>P_kinh_nghiệm (%)</t>
        </is>
      </c>
      <c r="F32" s="9" t="inlineStr">
        <is>
          <t>Tần suất P (%)</t>
        </is>
      </c>
      <c r="G32" s="9" t="inlineStr">
        <is>
          <t>Chu kỳ T (năm)</t>
        </is>
      </c>
      <c r="H32" s="9" t="inlineStr">
        <is>
          <t>H_p (mm)</t>
        </is>
      </c>
      <c r="I32" s="9" t="inlineStr">
        <is>
          <t>I (mm/phút)</t>
        </is>
      </c>
      <c r="J32" s="9" t="inlineStr">
        <is>
          <t>I (mm/h)</t>
        </is>
      </c>
      <c r="K32" s="9" t="inlineStr">
        <is>
          <t>q (l/s.ha)</t>
        </is>
      </c>
    </row>
    <row r="33">
      <c r="A33" s="10" t="n">
        <v>1</v>
      </c>
      <c r="B33" s="10" t="n">
        <v>2009</v>
      </c>
      <c r="C33" s="11" t="n">
        <v>39.8</v>
      </c>
      <c r="D33" s="11" t="n">
        <v>4.17</v>
      </c>
      <c r="F33" s="11" t="n">
        <v>0.1</v>
      </c>
      <c r="G33" s="10" t="n">
        <v>1000</v>
      </c>
      <c r="H33" s="11" t="n">
        <v>51.19</v>
      </c>
      <c r="I33" s="12" t="n">
        <v>5.119</v>
      </c>
      <c r="J33" s="11" t="n">
        <v>307.14</v>
      </c>
      <c r="K33" s="11" t="n">
        <v>853.33</v>
      </c>
    </row>
    <row r="34">
      <c r="A34" s="10" t="n">
        <v>2</v>
      </c>
      <c r="B34" s="10" t="n">
        <v>2019</v>
      </c>
      <c r="C34" s="11" t="n">
        <v>39.8</v>
      </c>
      <c r="D34" s="11" t="n">
        <v>8.33</v>
      </c>
      <c r="F34" s="11" t="n">
        <v>0.5</v>
      </c>
      <c r="G34" s="10" t="n">
        <v>200</v>
      </c>
      <c r="H34" s="11" t="n">
        <v>46.7</v>
      </c>
      <c r="I34" s="12" t="n">
        <v>4.67</v>
      </c>
      <c r="J34" s="11" t="n">
        <v>280.23</v>
      </c>
      <c r="K34" s="11" t="n">
        <v>778.5700000000001</v>
      </c>
    </row>
    <row r="35">
      <c r="A35" s="10" t="n">
        <v>3</v>
      </c>
      <c r="B35" s="10" t="n">
        <v>2015</v>
      </c>
      <c r="C35" s="11" t="n">
        <v>39.2</v>
      </c>
      <c r="D35" s="11" t="n">
        <v>12.5</v>
      </c>
      <c r="F35" s="11" t="n">
        <v>1</v>
      </c>
      <c r="G35" s="10" t="n">
        <v>100</v>
      </c>
      <c r="H35" s="11" t="n">
        <v>44.65</v>
      </c>
      <c r="I35" s="12" t="n">
        <v>4.465</v>
      </c>
      <c r="J35" s="11" t="n">
        <v>267.92</v>
      </c>
      <c r="K35" s="11" t="n">
        <v>744.38</v>
      </c>
    </row>
    <row r="36">
      <c r="A36" s="10" t="n">
        <v>4</v>
      </c>
      <c r="B36" s="10" t="n">
        <v>2024</v>
      </c>
      <c r="C36" s="11" t="n">
        <v>34.5</v>
      </c>
      <c r="D36" s="11" t="n">
        <v>16.67</v>
      </c>
      <c r="F36" s="11" t="n">
        <v>2</v>
      </c>
      <c r="G36" s="10" t="n">
        <v>50</v>
      </c>
      <c r="H36" s="11" t="n">
        <v>42.51</v>
      </c>
      <c r="I36" s="12" t="n">
        <v>4.251</v>
      </c>
      <c r="J36" s="11" t="n">
        <v>255.03</v>
      </c>
      <c r="K36" s="11" t="n">
        <v>708.5599999999999</v>
      </c>
    </row>
    <row r="37">
      <c r="A37" s="10" t="n">
        <v>5</v>
      </c>
      <c r="B37" s="10" t="n">
        <v>2011</v>
      </c>
      <c r="C37" s="11" t="n">
        <v>34.1</v>
      </c>
      <c r="D37" s="11" t="n">
        <v>20.83</v>
      </c>
      <c r="F37" s="11" t="n">
        <v>3</v>
      </c>
      <c r="G37" s="10" t="n">
        <v>33.3</v>
      </c>
      <c r="H37" s="11" t="n">
        <v>41.19</v>
      </c>
      <c r="I37" s="12" t="n">
        <v>4.119</v>
      </c>
      <c r="J37" s="11" t="n">
        <v>247.15</v>
      </c>
      <c r="K37" s="11" t="n">
        <v>686.65</v>
      </c>
    </row>
    <row r="38">
      <c r="A38" s="10" t="n">
        <v>6</v>
      </c>
      <c r="B38" s="10" t="n">
        <v>2013</v>
      </c>
      <c r="C38" s="11" t="n">
        <v>32.2</v>
      </c>
      <c r="D38" s="11" t="n">
        <v>25</v>
      </c>
      <c r="F38" s="11" t="n">
        <v>4</v>
      </c>
      <c r="G38" s="10" t="n">
        <v>25</v>
      </c>
      <c r="H38" s="11" t="n">
        <v>40.23</v>
      </c>
      <c r="I38" s="12" t="n">
        <v>4.023</v>
      </c>
      <c r="J38" s="11" t="n">
        <v>241.36</v>
      </c>
      <c r="K38" s="11" t="n">
        <v>670.59</v>
      </c>
    </row>
    <row r="39">
      <c r="A39" s="10" t="n">
        <v>7</v>
      </c>
      <c r="B39" s="10" t="n">
        <v>2014</v>
      </c>
      <c r="C39" s="11" t="n">
        <v>31.1</v>
      </c>
      <c r="D39" s="11" t="n">
        <v>29.17</v>
      </c>
      <c r="F39" s="11" t="n">
        <v>5</v>
      </c>
      <c r="G39" s="10" t="n">
        <v>20</v>
      </c>
      <c r="H39" s="11" t="n">
        <v>39.46</v>
      </c>
      <c r="I39" s="12" t="n">
        <v>3.946</v>
      </c>
      <c r="J39" s="11" t="n">
        <v>236.75</v>
      </c>
      <c r="K39" s="11" t="n">
        <v>657.78</v>
      </c>
    </row>
    <row r="40">
      <c r="A40" s="10" t="n">
        <v>8</v>
      </c>
      <c r="B40" s="10" t="n">
        <v>2012</v>
      </c>
      <c r="C40" s="11" t="n">
        <v>31</v>
      </c>
      <c r="D40" s="11" t="n">
        <v>33.33</v>
      </c>
      <c r="F40" s="11" t="n">
        <v>10</v>
      </c>
      <c r="G40" s="10" t="n">
        <v>10</v>
      </c>
      <c r="H40" s="11" t="n">
        <v>36.93</v>
      </c>
      <c r="I40" s="12" t="n">
        <v>3.693</v>
      </c>
      <c r="J40" s="11" t="n">
        <v>221.56</v>
      </c>
      <c r="K40" s="11" t="n">
        <v>615.5700000000001</v>
      </c>
    </row>
    <row r="41">
      <c r="A41" s="10" t="n">
        <v>9</v>
      </c>
      <c r="B41" s="10" t="n">
        <v>2004</v>
      </c>
      <c r="C41" s="11" t="n">
        <v>30.7</v>
      </c>
      <c r="D41" s="11" t="n">
        <v>37.5</v>
      </c>
      <c r="F41" s="11" t="n">
        <v>20</v>
      </c>
      <c r="G41" s="10" t="n">
        <v>5</v>
      </c>
      <c r="H41" s="11" t="n">
        <v>34.08</v>
      </c>
      <c r="I41" s="12" t="n">
        <v>3.408</v>
      </c>
      <c r="J41" s="11" t="n">
        <v>204.46</v>
      </c>
      <c r="K41" s="11" t="n">
        <v>568.05</v>
      </c>
    </row>
    <row r="42">
      <c r="A42" s="10" t="n">
        <v>10</v>
      </c>
      <c r="B42" s="10" t="n">
        <v>2020</v>
      </c>
      <c r="C42" s="11" t="n">
        <v>30.7</v>
      </c>
      <c r="D42" s="11" t="n">
        <v>41.67</v>
      </c>
      <c r="F42" s="11" t="n">
        <v>25</v>
      </c>
      <c r="G42" s="10" t="n">
        <v>4</v>
      </c>
      <c r="H42" s="11" t="n">
        <v>33.05</v>
      </c>
      <c r="I42" s="12" t="n">
        <v>3.305</v>
      </c>
      <c r="J42" s="11" t="n">
        <v>198.32</v>
      </c>
      <c r="K42" s="11" t="n">
        <v>551</v>
      </c>
    </row>
    <row r="43">
      <c r="A43" s="10" t="n">
        <v>11</v>
      </c>
      <c r="B43" s="10" t="n">
        <v>2018</v>
      </c>
      <c r="C43" s="11" t="n">
        <v>30.5</v>
      </c>
      <c r="D43" s="11" t="n">
        <v>45.83</v>
      </c>
      <c r="F43" s="11" t="n">
        <v>33.3</v>
      </c>
      <c r="G43" s="10" t="n">
        <v>3</v>
      </c>
      <c r="H43" s="11" t="n">
        <v>31.63</v>
      </c>
      <c r="I43" s="12" t="n">
        <v>3.163</v>
      </c>
      <c r="J43" s="11" t="n">
        <v>189.76</v>
      </c>
      <c r="K43" s="11" t="n">
        <v>527.21</v>
      </c>
    </row>
    <row r="44">
      <c r="A44" s="10" t="n">
        <v>12</v>
      </c>
      <c r="B44" s="10" t="n">
        <v>2023</v>
      </c>
      <c r="C44" s="11" t="n">
        <v>30</v>
      </c>
      <c r="D44" s="11" t="n">
        <v>50</v>
      </c>
      <c r="F44" s="11" t="n">
        <v>50</v>
      </c>
      <c r="G44" s="10" t="n">
        <v>2</v>
      </c>
      <c r="H44" s="11" t="n">
        <v>29.26</v>
      </c>
      <c r="I44" s="12" t="n">
        <v>2.926</v>
      </c>
      <c r="J44" s="11" t="n">
        <v>175.54</v>
      </c>
      <c r="K44" s="11" t="n">
        <v>487.71</v>
      </c>
    </row>
    <row r="45">
      <c r="A45" s="10" t="n">
        <v>13</v>
      </c>
      <c r="B45" s="10" t="n">
        <v>2016</v>
      </c>
      <c r="C45" s="11" t="n">
        <v>29.5</v>
      </c>
      <c r="D45" s="11" t="n">
        <v>54.17</v>
      </c>
      <c r="F45" s="11" t="n">
        <v>75</v>
      </c>
      <c r="G45" s="10" t="n">
        <v>1.3</v>
      </c>
      <c r="H45" s="11" t="n">
        <v>25.97</v>
      </c>
      <c r="I45" s="12" t="n">
        <v>2.597</v>
      </c>
      <c r="J45" s="11" t="n">
        <v>155.8</v>
      </c>
      <c r="K45" s="11" t="n">
        <v>432.88</v>
      </c>
    </row>
    <row r="46">
      <c r="A46" s="10" t="n">
        <v>14</v>
      </c>
      <c r="B46" s="10" t="n">
        <v>2022</v>
      </c>
      <c r="C46" s="11" t="n">
        <v>29.4</v>
      </c>
      <c r="D46" s="11" t="n">
        <v>58.33</v>
      </c>
      <c r="F46" s="11" t="n">
        <v>90</v>
      </c>
      <c r="G46" s="10" t="n">
        <v>1.1</v>
      </c>
      <c r="H46" s="11" t="n">
        <v>23.42</v>
      </c>
      <c r="I46" s="12" t="n">
        <v>2.342</v>
      </c>
      <c r="J46" s="11" t="n">
        <v>140.5</v>
      </c>
      <c r="K46" s="11" t="n">
        <v>390.36</v>
      </c>
    </row>
    <row r="47">
      <c r="A47" s="10" t="n">
        <v>15</v>
      </c>
      <c r="B47" s="10" t="n">
        <v>2008</v>
      </c>
      <c r="C47" s="11" t="n">
        <v>28.6</v>
      </c>
      <c r="D47" s="11" t="n">
        <v>62.5</v>
      </c>
      <c r="F47" s="11" t="n">
        <v>95</v>
      </c>
      <c r="G47" s="10" t="n">
        <v>1.1</v>
      </c>
      <c r="H47" s="11" t="n">
        <v>22.07</v>
      </c>
      <c r="I47" s="12" t="n">
        <v>2.207</v>
      </c>
      <c r="J47" s="11" t="n">
        <v>132.4</v>
      </c>
      <c r="K47" s="11" t="n">
        <v>367.85</v>
      </c>
    </row>
    <row r="48">
      <c r="A48" s="10" t="n">
        <v>16</v>
      </c>
      <c r="B48" s="10" t="n">
        <v>2005</v>
      </c>
      <c r="C48" s="11" t="n">
        <v>27.8</v>
      </c>
      <c r="D48" s="11" t="n">
        <v>66.67</v>
      </c>
    </row>
    <row r="49">
      <c r="A49" s="10" t="n">
        <v>17</v>
      </c>
      <c r="B49" s="10" t="n">
        <v>2003</v>
      </c>
      <c r="C49" s="11" t="n">
        <v>27.4</v>
      </c>
      <c r="D49" s="11" t="n">
        <v>70.83</v>
      </c>
    </row>
    <row r="50">
      <c r="A50" s="10" t="n">
        <v>18</v>
      </c>
      <c r="B50" s="10" t="n">
        <v>2021</v>
      </c>
      <c r="C50" s="11" t="n">
        <v>25.2</v>
      </c>
      <c r="D50" s="11" t="n">
        <v>75</v>
      </c>
    </row>
    <row r="51">
      <c r="A51" s="10" t="n">
        <v>19</v>
      </c>
      <c r="B51" s="10" t="n">
        <v>2025</v>
      </c>
      <c r="C51" s="11" t="n">
        <v>24.6</v>
      </c>
      <c r="D51" s="11" t="n">
        <v>79.17</v>
      </c>
    </row>
    <row r="52">
      <c r="A52" s="10" t="n">
        <v>20</v>
      </c>
      <c r="B52" s="10" t="n">
        <v>2010</v>
      </c>
      <c r="C52" s="11" t="n">
        <v>24</v>
      </c>
      <c r="D52" s="11" t="n">
        <v>83.33</v>
      </c>
    </row>
    <row r="53">
      <c r="A53" s="10" t="n">
        <v>21</v>
      </c>
      <c r="B53" s="10" t="n">
        <v>2007</v>
      </c>
      <c r="C53" s="11" t="n">
        <v>23.4</v>
      </c>
      <c r="D53" s="11" t="n">
        <v>87.5</v>
      </c>
    </row>
    <row r="54">
      <c r="A54" s="10" t="n">
        <v>22</v>
      </c>
      <c r="B54" s="10" t="n">
        <v>2017</v>
      </c>
      <c r="C54" s="11" t="n">
        <v>22.5</v>
      </c>
      <c r="D54" s="11" t="n">
        <v>91.67</v>
      </c>
    </row>
    <row r="55">
      <c r="A55" s="10" t="n">
        <v>23</v>
      </c>
      <c r="B55" s="10" t="n">
        <v>2006</v>
      </c>
      <c r="C55" s="11" t="n">
        <v>19.7</v>
      </c>
      <c r="D55" s="11" t="n">
        <v>95.83</v>
      </c>
    </row>
    <row r="58">
      <c r="A58" s="7" t="inlineStr">
        <is>
          <t>PHÂN TÍCH TẦN SUẤT THỜI ĐOẠN 15 PHÚT (X_tb=39.40mm, Cv=0.202, Cs=0.708)</t>
        </is>
      </c>
    </row>
    <row r="59">
      <c r="A59" s="8" t="inlineStr">
        <is>
          <t>Bảng Tần Suất Kinh Nghiệm (Weibull)</t>
        </is>
      </c>
      <c r="F59" s="8" t="inlineStr">
        <is>
          <t>Bảng Tần Suất Lý Luận (Pearson III)</t>
        </is>
      </c>
    </row>
    <row r="60">
      <c r="A60" s="9" t="inlineStr">
        <is>
          <t>Hạng (m)</t>
        </is>
      </c>
      <c r="B60" s="9" t="inlineStr">
        <is>
          <t>Năm</t>
        </is>
      </c>
      <c r="C60" s="9" t="inlineStr">
        <is>
          <t>H (mm)</t>
        </is>
      </c>
      <c r="D60" s="9" t="inlineStr">
        <is>
          <t>P_kinh_nghiệm (%)</t>
        </is>
      </c>
      <c r="F60" s="9" t="inlineStr">
        <is>
          <t>Tần suất P (%)</t>
        </is>
      </c>
      <c r="G60" s="9" t="inlineStr">
        <is>
          <t>Chu kỳ T (năm)</t>
        </is>
      </c>
      <c r="H60" s="9" t="inlineStr">
        <is>
          <t>H_p (mm)</t>
        </is>
      </c>
      <c r="I60" s="9" t="inlineStr">
        <is>
          <t>I (mm/phút)</t>
        </is>
      </c>
      <c r="J60" s="9" t="inlineStr">
        <is>
          <t>I (mm/h)</t>
        </is>
      </c>
      <c r="K60" s="9" t="inlineStr">
        <is>
          <t>q (l/s.ha)</t>
        </is>
      </c>
    </row>
    <row r="61">
      <c r="A61" s="10" t="n">
        <v>1</v>
      </c>
      <c r="B61" s="10" t="n">
        <v>2009</v>
      </c>
      <c r="C61" s="11" t="n">
        <v>52.3</v>
      </c>
      <c r="D61" s="11" t="n">
        <v>4.17</v>
      </c>
      <c r="F61" s="11" t="n">
        <v>0.1</v>
      </c>
      <c r="G61" s="10" t="n">
        <v>1000</v>
      </c>
      <c r="H61" s="11" t="n">
        <v>72.18000000000001</v>
      </c>
      <c r="I61" s="12" t="n">
        <v>4.812</v>
      </c>
      <c r="J61" s="11" t="n">
        <v>288.73</v>
      </c>
      <c r="K61" s="11" t="n">
        <v>802.1900000000001</v>
      </c>
    </row>
    <row r="62">
      <c r="A62" s="10" t="n">
        <v>2</v>
      </c>
      <c r="B62" s="10" t="n">
        <v>2011</v>
      </c>
      <c r="C62" s="11" t="n">
        <v>52</v>
      </c>
      <c r="D62" s="11" t="n">
        <v>8.33</v>
      </c>
      <c r="F62" s="11" t="n">
        <v>0.5</v>
      </c>
      <c r="G62" s="10" t="n">
        <v>200</v>
      </c>
      <c r="H62" s="11" t="n">
        <v>65.15000000000001</v>
      </c>
      <c r="I62" s="12" t="n">
        <v>4.344</v>
      </c>
      <c r="J62" s="11" t="n">
        <v>260.61</v>
      </c>
      <c r="K62" s="11" t="n">
        <v>724.0700000000001</v>
      </c>
    </row>
    <row r="63">
      <c r="A63" s="10" t="n">
        <v>3</v>
      </c>
      <c r="B63" s="10" t="n">
        <v>2018</v>
      </c>
      <c r="C63" s="11" t="n">
        <v>50.7</v>
      </c>
      <c r="D63" s="11" t="n">
        <v>12.5</v>
      </c>
      <c r="F63" s="11" t="n">
        <v>1</v>
      </c>
      <c r="G63" s="10" t="n">
        <v>100</v>
      </c>
      <c r="H63" s="11" t="n">
        <v>61.96</v>
      </c>
      <c r="I63" s="12" t="n">
        <v>4.13</v>
      </c>
      <c r="J63" s="11" t="n">
        <v>247.83</v>
      </c>
      <c r="K63" s="11" t="n">
        <v>688.55</v>
      </c>
    </row>
    <row r="64">
      <c r="A64" s="10" t="n">
        <v>4</v>
      </c>
      <c r="B64" s="10" t="n">
        <v>2019</v>
      </c>
      <c r="C64" s="11" t="n">
        <v>50.2</v>
      </c>
      <c r="D64" s="11" t="n">
        <v>16.67</v>
      </c>
      <c r="F64" s="11" t="n">
        <v>2</v>
      </c>
      <c r="G64" s="10" t="n">
        <v>50</v>
      </c>
      <c r="H64" s="11" t="n">
        <v>58.62</v>
      </c>
      <c r="I64" s="12" t="n">
        <v>3.908</v>
      </c>
      <c r="J64" s="11" t="n">
        <v>234.48</v>
      </c>
      <c r="K64" s="11" t="n">
        <v>651.46</v>
      </c>
    </row>
    <row r="65">
      <c r="A65" s="10" t="n">
        <v>5</v>
      </c>
      <c r="B65" s="10" t="n">
        <v>2022</v>
      </c>
      <c r="C65" s="11" t="n">
        <v>49</v>
      </c>
      <c r="D65" s="11" t="n">
        <v>20.83</v>
      </c>
      <c r="F65" s="11" t="n">
        <v>3</v>
      </c>
      <c r="G65" s="10" t="n">
        <v>33.3</v>
      </c>
      <c r="H65" s="11" t="n">
        <v>56.59</v>
      </c>
      <c r="I65" s="12" t="n">
        <v>3.772</v>
      </c>
      <c r="J65" s="11" t="n">
        <v>226.35</v>
      </c>
      <c r="K65" s="11" t="n">
        <v>628.86</v>
      </c>
    </row>
    <row r="66">
      <c r="A66" s="10" t="n">
        <v>6</v>
      </c>
      <c r="B66" s="10" t="n">
        <v>2012</v>
      </c>
      <c r="C66" s="11" t="n">
        <v>45.8</v>
      </c>
      <c r="D66" s="11" t="n">
        <v>25</v>
      </c>
      <c r="F66" s="11" t="n">
        <v>4</v>
      </c>
      <c r="G66" s="10" t="n">
        <v>25</v>
      </c>
      <c r="H66" s="11" t="n">
        <v>55.1</v>
      </c>
      <c r="I66" s="12" t="n">
        <v>3.673</v>
      </c>
      <c r="J66" s="11" t="n">
        <v>220.4</v>
      </c>
      <c r="K66" s="11" t="n">
        <v>612.33</v>
      </c>
    </row>
    <row r="67">
      <c r="A67" s="10" t="n">
        <v>7</v>
      </c>
      <c r="B67" s="10" t="n">
        <v>2024</v>
      </c>
      <c r="C67" s="11" t="n">
        <v>44.2</v>
      </c>
      <c r="D67" s="11" t="n">
        <v>29.17</v>
      </c>
      <c r="F67" s="11" t="n">
        <v>5</v>
      </c>
      <c r="G67" s="10" t="n">
        <v>20</v>
      </c>
      <c r="H67" s="11" t="n">
        <v>53.92</v>
      </c>
      <c r="I67" s="12" t="n">
        <v>3.594</v>
      </c>
      <c r="J67" s="11" t="n">
        <v>215.66</v>
      </c>
      <c r="K67" s="11" t="n">
        <v>599.1799999999999</v>
      </c>
    </row>
    <row r="68">
      <c r="A68" s="10" t="n">
        <v>8</v>
      </c>
      <c r="B68" s="10" t="n">
        <v>2015</v>
      </c>
      <c r="C68" s="11" t="n">
        <v>44.2</v>
      </c>
      <c r="D68" s="11" t="n">
        <v>33.33</v>
      </c>
      <c r="F68" s="11" t="n">
        <v>10</v>
      </c>
      <c r="G68" s="10" t="n">
        <v>10</v>
      </c>
      <c r="H68" s="11" t="n">
        <v>50.03</v>
      </c>
      <c r="I68" s="12" t="n">
        <v>3.336</v>
      </c>
      <c r="J68" s="11" t="n">
        <v>200.13</v>
      </c>
      <c r="K68" s="11" t="n">
        <v>556.03</v>
      </c>
    </row>
    <row r="69">
      <c r="A69" s="10" t="n">
        <v>9</v>
      </c>
      <c r="B69" s="10" t="n">
        <v>2020</v>
      </c>
      <c r="C69" s="11" t="n">
        <v>40.3</v>
      </c>
      <c r="D69" s="11" t="n">
        <v>37.5</v>
      </c>
      <c r="F69" s="11" t="n">
        <v>20</v>
      </c>
      <c r="G69" s="10" t="n">
        <v>5</v>
      </c>
      <c r="H69" s="11" t="n">
        <v>45.7</v>
      </c>
      <c r="I69" s="12" t="n">
        <v>3.046</v>
      </c>
      <c r="J69" s="11" t="n">
        <v>182.78</v>
      </c>
      <c r="K69" s="11" t="n">
        <v>507.83</v>
      </c>
    </row>
    <row r="70">
      <c r="A70" s="10" t="n">
        <v>10</v>
      </c>
      <c r="B70" s="10" t="n">
        <v>2004</v>
      </c>
      <c r="C70" s="11" t="n">
        <v>40.2</v>
      </c>
      <c r="D70" s="11" t="n">
        <v>41.67</v>
      </c>
      <c r="F70" s="11" t="n">
        <v>25</v>
      </c>
      <c r="G70" s="10" t="n">
        <v>4</v>
      </c>
      <c r="H70" s="11" t="n">
        <v>44.15</v>
      </c>
      <c r="I70" s="12" t="n">
        <v>2.943</v>
      </c>
      <c r="J70" s="11" t="n">
        <v>176.6</v>
      </c>
      <c r="K70" s="11" t="n">
        <v>490.66</v>
      </c>
    </row>
    <row r="71">
      <c r="A71" s="10" t="n">
        <v>11</v>
      </c>
      <c r="B71" s="10" t="n">
        <v>2014</v>
      </c>
      <c r="C71" s="11" t="n">
        <v>39.2</v>
      </c>
      <c r="D71" s="11" t="n">
        <v>45.83</v>
      </c>
      <c r="F71" s="11" t="n">
        <v>33.3</v>
      </c>
      <c r="G71" s="10" t="n">
        <v>3</v>
      </c>
      <c r="H71" s="11" t="n">
        <v>42</v>
      </c>
      <c r="I71" s="12" t="n">
        <v>2.8</v>
      </c>
      <c r="J71" s="11" t="n">
        <v>168.02</v>
      </c>
      <c r="K71" s="11" t="n">
        <v>466.81</v>
      </c>
    </row>
    <row r="72">
      <c r="A72" s="10" t="n">
        <v>12</v>
      </c>
      <c r="B72" s="10" t="n">
        <v>2023</v>
      </c>
      <c r="C72" s="11" t="n">
        <v>39</v>
      </c>
      <c r="D72" s="11" t="n">
        <v>50</v>
      </c>
      <c r="F72" s="11" t="n">
        <v>50</v>
      </c>
      <c r="G72" s="10" t="n">
        <v>2</v>
      </c>
      <c r="H72" s="11" t="n">
        <v>38.47</v>
      </c>
      <c r="I72" s="12" t="n">
        <v>2.565</v>
      </c>
      <c r="J72" s="11" t="n">
        <v>153.88</v>
      </c>
      <c r="K72" s="11" t="n">
        <v>427.54</v>
      </c>
    </row>
    <row r="73">
      <c r="A73" s="10" t="n">
        <v>13</v>
      </c>
      <c r="B73" s="10" t="n">
        <v>2016</v>
      </c>
      <c r="C73" s="11" t="n">
        <v>38.7</v>
      </c>
      <c r="D73" s="11" t="n">
        <v>54.17</v>
      </c>
      <c r="F73" s="11" t="n">
        <v>75</v>
      </c>
      <c r="G73" s="10" t="n">
        <v>1.3</v>
      </c>
      <c r="H73" s="11" t="n">
        <v>33.64</v>
      </c>
      <c r="I73" s="12" t="n">
        <v>2.243</v>
      </c>
      <c r="J73" s="11" t="n">
        <v>134.57</v>
      </c>
      <c r="K73" s="11" t="n">
        <v>373.89</v>
      </c>
    </row>
    <row r="74">
      <c r="A74" s="10" t="n">
        <v>14</v>
      </c>
      <c r="B74" s="10" t="n">
        <v>2013</v>
      </c>
      <c r="C74" s="11" t="n">
        <v>38.2</v>
      </c>
      <c r="D74" s="11" t="n">
        <v>58.33</v>
      </c>
      <c r="F74" s="11" t="n">
        <v>90</v>
      </c>
      <c r="G74" s="10" t="n">
        <v>1.1</v>
      </c>
      <c r="H74" s="11" t="n">
        <v>29.98</v>
      </c>
      <c r="I74" s="12" t="n">
        <v>1.999</v>
      </c>
      <c r="J74" s="11" t="n">
        <v>119.92</v>
      </c>
      <c r="K74" s="11" t="n">
        <v>333.19</v>
      </c>
    </row>
    <row r="75">
      <c r="A75" s="10" t="n">
        <v>15</v>
      </c>
      <c r="B75" s="10" t="n">
        <v>2008</v>
      </c>
      <c r="C75" s="11" t="n">
        <v>35.5</v>
      </c>
      <c r="D75" s="11" t="n">
        <v>62.5</v>
      </c>
      <c r="F75" s="11" t="n">
        <v>95</v>
      </c>
      <c r="G75" s="10" t="n">
        <v>1.1</v>
      </c>
      <c r="H75" s="11" t="n">
        <v>28.08</v>
      </c>
      <c r="I75" s="12" t="n">
        <v>1.872</v>
      </c>
      <c r="J75" s="11" t="n">
        <v>112.32</v>
      </c>
      <c r="K75" s="11" t="n">
        <v>312.05</v>
      </c>
    </row>
    <row r="76">
      <c r="A76" s="10" t="n">
        <v>16</v>
      </c>
      <c r="B76" s="10" t="n">
        <v>2005</v>
      </c>
      <c r="C76" s="11" t="n">
        <v>33.6</v>
      </c>
      <c r="D76" s="11" t="n">
        <v>66.67</v>
      </c>
    </row>
    <row r="77">
      <c r="A77" s="10" t="n">
        <v>17</v>
      </c>
      <c r="B77" s="10" t="n">
        <v>2007</v>
      </c>
      <c r="C77" s="11" t="n">
        <v>33.4</v>
      </c>
      <c r="D77" s="11" t="n">
        <v>70.83</v>
      </c>
    </row>
    <row r="78">
      <c r="A78" s="10" t="n">
        <v>18</v>
      </c>
      <c r="B78" s="10" t="n">
        <v>2025</v>
      </c>
      <c r="C78" s="11" t="n">
        <v>32</v>
      </c>
      <c r="D78" s="11" t="n">
        <v>75</v>
      </c>
    </row>
    <row r="79">
      <c r="A79" s="10" t="n">
        <v>19</v>
      </c>
      <c r="B79" s="10" t="n">
        <v>2003</v>
      </c>
      <c r="C79" s="11" t="n">
        <v>31.8</v>
      </c>
      <c r="D79" s="11" t="n">
        <v>79.17</v>
      </c>
    </row>
    <row r="80">
      <c r="A80" s="10" t="n">
        <v>20</v>
      </c>
      <c r="B80" s="10" t="n">
        <v>2010</v>
      </c>
      <c r="C80" s="11" t="n">
        <v>31</v>
      </c>
      <c r="D80" s="11" t="n">
        <v>83.33</v>
      </c>
    </row>
    <row r="81">
      <c r="A81" s="10" t="n">
        <v>21</v>
      </c>
      <c r="B81" s="10" t="n">
        <v>2021</v>
      </c>
      <c r="C81" s="11" t="n">
        <v>29.8</v>
      </c>
      <c r="D81" s="11" t="n">
        <v>87.5</v>
      </c>
    </row>
    <row r="82">
      <c r="A82" s="10" t="n">
        <v>22</v>
      </c>
      <c r="B82" s="10" t="n">
        <v>2017</v>
      </c>
      <c r="C82" s="11" t="n">
        <v>29.5</v>
      </c>
      <c r="D82" s="11" t="n">
        <v>91.67</v>
      </c>
    </row>
    <row r="83">
      <c r="A83" s="10" t="n">
        <v>23</v>
      </c>
      <c r="B83" s="10" t="n">
        <v>2006</v>
      </c>
      <c r="C83" s="11" t="n">
        <v>25.7</v>
      </c>
      <c r="D83" s="11" t="n">
        <v>95.83</v>
      </c>
    </row>
    <row r="86">
      <c r="A86" s="7" t="inlineStr">
        <is>
          <t>PHÂN TÍCH TẦN SUẤT THỜI ĐOẠN 20 PHÚT (X_tb=46.42mm, Cv=0.188, Cs=0.658)</t>
        </is>
      </c>
    </row>
    <row r="87">
      <c r="A87" s="8" t="inlineStr">
        <is>
          <t>Bảng Tần Suất Kinh Nghiệm (Weibull)</t>
        </is>
      </c>
      <c r="F87" s="8" t="inlineStr">
        <is>
          <t>Bảng Tần Suất Lý Luận (Pearson III)</t>
        </is>
      </c>
    </row>
    <row r="88">
      <c r="A88" s="9" t="inlineStr">
        <is>
          <t>Hạng (m)</t>
        </is>
      </c>
      <c r="B88" s="9" t="inlineStr">
        <is>
          <t>Năm</t>
        </is>
      </c>
      <c r="C88" s="9" t="inlineStr">
        <is>
          <t>H (mm)</t>
        </is>
      </c>
      <c r="D88" s="9" t="inlineStr">
        <is>
          <t>P_kinh_nghiệm (%)</t>
        </is>
      </c>
      <c r="F88" s="9" t="inlineStr">
        <is>
          <t>Tần suất P (%)</t>
        </is>
      </c>
      <c r="G88" s="9" t="inlineStr">
        <is>
          <t>Chu kỳ T (năm)</t>
        </is>
      </c>
      <c r="H88" s="9" t="inlineStr">
        <is>
          <t>H_p (mm)</t>
        </is>
      </c>
      <c r="I88" s="9" t="inlineStr">
        <is>
          <t>I (mm/phút)</t>
        </is>
      </c>
      <c r="J88" s="9" t="inlineStr">
        <is>
          <t>I (mm/h)</t>
        </is>
      </c>
      <c r="K88" s="9" t="inlineStr">
        <is>
          <t>q (l/s.ha)</t>
        </is>
      </c>
    </row>
    <row r="89">
      <c r="A89" s="10" t="n">
        <v>1</v>
      </c>
      <c r="B89" s="10" t="n">
        <v>2011</v>
      </c>
      <c r="C89" s="11" t="n">
        <v>61.7</v>
      </c>
      <c r="D89" s="11" t="n">
        <v>4.17</v>
      </c>
      <c r="F89" s="11" t="n">
        <v>0.1</v>
      </c>
      <c r="G89" s="10" t="n">
        <v>1000</v>
      </c>
      <c r="H89" s="11" t="n">
        <v>81.65000000000001</v>
      </c>
      <c r="I89" s="12" t="n">
        <v>4.083</v>
      </c>
      <c r="J89" s="11" t="n">
        <v>244.95</v>
      </c>
      <c r="K89" s="11" t="n">
        <v>680.5599999999999</v>
      </c>
    </row>
    <row r="90">
      <c r="A90" s="10" t="n">
        <v>2</v>
      </c>
      <c r="B90" s="10" t="n">
        <v>2019</v>
      </c>
      <c r="C90" s="11" t="n">
        <v>59.4</v>
      </c>
      <c r="D90" s="11" t="n">
        <v>8.33</v>
      </c>
      <c r="F90" s="11" t="n">
        <v>0.5</v>
      </c>
      <c r="G90" s="10" t="n">
        <v>200</v>
      </c>
      <c r="H90" s="11" t="n">
        <v>74.2</v>
      </c>
      <c r="I90" s="12" t="n">
        <v>3.71</v>
      </c>
      <c r="J90" s="11" t="n">
        <v>222.6</v>
      </c>
      <c r="K90" s="11" t="n">
        <v>618.4400000000001</v>
      </c>
    </row>
    <row r="91">
      <c r="A91" s="10" t="n">
        <v>3</v>
      </c>
      <c r="B91" s="10" t="n">
        <v>2024</v>
      </c>
      <c r="C91" s="11" t="n">
        <v>58.4</v>
      </c>
      <c r="D91" s="11" t="n">
        <v>12.5</v>
      </c>
      <c r="F91" s="11" t="n">
        <v>1</v>
      </c>
      <c r="G91" s="10" t="n">
        <v>100</v>
      </c>
      <c r="H91" s="11" t="n">
        <v>70.8</v>
      </c>
      <c r="I91" s="12" t="n">
        <v>3.54</v>
      </c>
      <c r="J91" s="11" t="n">
        <v>212.39</v>
      </c>
      <c r="K91" s="11" t="n">
        <v>590.1</v>
      </c>
    </row>
    <row r="92">
      <c r="A92" s="10" t="n">
        <v>4</v>
      </c>
      <c r="B92" s="10" t="n">
        <v>2009</v>
      </c>
      <c r="C92" s="11" t="n">
        <v>58.2</v>
      </c>
      <c r="D92" s="11" t="n">
        <v>16.67</v>
      </c>
      <c r="F92" s="11" t="n">
        <v>2</v>
      </c>
      <c r="G92" s="10" t="n">
        <v>50</v>
      </c>
      <c r="H92" s="11" t="n">
        <v>67.23999999999999</v>
      </c>
      <c r="I92" s="12" t="n">
        <v>3.362</v>
      </c>
      <c r="J92" s="11" t="n">
        <v>201.72</v>
      </c>
      <c r="K92" s="11" t="n">
        <v>560.4400000000001</v>
      </c>
    </row>
    <row r="93">
      <c r="A93" s="10" t="n">
        <v>5</v>
      </c>
      <c r="B93" s="10" t="n">
        <v>2022</v>
      </c>
      <c r="C93" s="11" t="n">
        <v>55</v>
      </c>
      <c r="D93" s="11" t="n">
        <v>20.83</v>
      </c>
      <c r="F93" s="11" t="n">
        <v>3</v>
      </c>
      <c r="G93" s="10" t="n">
        <v>33.3</v>
      </c>
      <c r="H93" s="11" t="n">
        <v>65.06999999999999</v>
      </c>
      <c r="I93" s="12" t="n">
        <v>3.253</v>
      </c>
      <c r="J93" s="11" t="n">
        <v>195.2</v>
      </c>
      <c r="K93" s="11" t="n">
        <v>542.33</v>
      </c>
    </row>
    <row r="94">
      <c r="A94" s="10" t="n">
        <v>6</v>
      </c>
      <c r="B94" s="10" t="n">
        <v>2018</v>
      </c>
      <c r="C94" s="11" t="n">
        <v>54.8</v>
      </c>
      <c r="D94" s="11" t="n">
        <v>25</v>
      </c>
      <c r="F94" s="11" t="n">
        <v>4</v>
      </c>
      <c r="G94" s="10" t="n">
        <v>25</v>
      </c>
      <c r="H94" s="11" t="n">
        <v>63.47</v>
      </c>
      <c r="I94" s="12" t="n">
        <v>3.174</v>
      </c>
      <c r="J94" s="11" t="n">
        <v>190.42</v>
      </c>
      <c r="K94" s="11" t="n">
        <v>529.0599999999999</v>
      </c>
    </row>
    <row r="95">
      <c r="A95" s="10" t="n">
        <v>7</v>
      </c>
      <c r="B95" s="10" t="n">
        <v>2004</v>
      </c>
      <c r="C95" s="11" t="n">
        <v>50.3</v>
      </c>
      <c r="D95" s="11" t="n">
        <v>29.17</v>
      </c>
      <c r="F95" s="11" t="n">
        <v>5</v>
      </c>
      <c r="G95" s="10" t="n">
        <v>20</v>
      </c>
      <c r="H95" s="11" t="n">
        <v>62.21</v>
      </c>
      <c r="I95" s="12" t="n">
        <v>3.11</v>
      </c>
      <c r="J95" s="11" t="n">
        <v>186.62</v>
      </c>
      <c r="K95" s="11" t="n">
        <v>518.48</v>
      </c>
    </row>
    <row r="96">
      <c r="A96" s="10" t="n">
        <v>8</v>
      </c>
      <c r="B96" s="10" t="n">
        <v>2016</v>
      </c>
      <c r="C96" s="11" t="n">
        <v>49.5</v>
      </c>
      <c r="D96" s="11" t="n">
        <v>33.33</v>
      </c>
      <c r="F96" s="11" t="n">
        <v>10</v>
      </c>
      <c r="G96" s="10" t="n">
        <v>10</v>
      </c>
      <c r="H96" s="11" t="n">
        <v>58.03</v>
      </c>
      <c r="I96" s="12" t="n">
        <v>2.902</v>
      </c>
      <c r="J96" s="11" t="n">
        <v>174.1</v>
      </c>
      <c r="K96" s="11" t="n">
        <v>483.7</v>
      </c>
    </row>
    <row r="97">
      <c r="A97" s="10" t="n">
        <v>9</v>
      </c>
      <c r="B97" s="10" t="n">
        <v>2014</v>
      </c>
      <c r="C97" s="11" t="n">
        <v>49.5</v>
      </c>
      <c r="D97" s="11" t="n">
        <v>37.5</v>
      </c>
      <c r="F97" s="11" t="n">
        <v>20</v>
      </c>
      <c r="G97" s="10" t="n">
        <v>5</v>
      </c>
      <c r="H97" s="11" t="n">
        <v>53.35</v>
      </c>
      <c r="I97" s="12" t="n">
        <v>2.667</v>
      </c>
      <c r="J97" s="11" t="n">
        <v>160.04</v>
      </c>
      <c r="K97" s="11" t="n">
        <v>444.66</v>
      </c>
    </row>
    <row r="98">
      <c r="A98" s="10" t="n">
        <v>10</v>
      </c>
      <c r="B98" s="10" t="n">
        <v>2012</v>
      </c>
      <c r="C98" s="11" t="n">
        <v>48.8</v>
      </c>
      <c r="D98" s="11" t="n">
        <v>41.67</v>
      </c>
      <c r="F98" s="11" t="n">
        <v>25</v>
      </c>
      <c r="G98" s="10" t="n">
        <v>4</v>
      </c>
      <c r="H98" s="11" t="n">
        <v>51.67</v>
      </c>
      <c r="I98" s="12" t="n">
        <v>2.584</v>
      </c>
      <c r="J98" s="11" t="n">
        <v>155.02</v>
      </c>
      <c r="K98" s="11" t="n">
        <v>430.69</v>
      </c>
    </row>
    <row r="99">
      <c r="A99" s="10" t="n">
        <v>11</v>
      </c>
      <c r="B99" s="10" t="n">
        <v>2015</v>
      </c>
      <c r="C99" s="11" t="n">
        <v>48</v>
      </c>
      <c r="D99" s="11" t="n">
        <v>45.83</v>
      </c>
      <c r="F99" s="11" t="n">
        <v>33.3</v>
      </c>
      <c r="G99" s="10" t="n">
        <v>3</v>
      </c>
      <c r="H99" s="11" t="n">
        <v>49.34</v>
      </c>
      <c r="I99" s="12" t="n">
        <v>2.467</v>
      </c>
      <c r="J99" s="11" t="n">
        <v>148.01</v>
      </c>
      <c r="K99" s="11" t="n">
        <v>411.22</v>
      </c>
    </row>
    <row r="100">
      <c r="A100" s="10" t="n">
        <v>12</v>
      </c>
      <c r="B100" s="10" t="n">
        <v>2020</v>
      </c>
      <c r="C100" s="11" t="n">
        <v>46</v>
      </c>
      <c r="D100" s="11" t="n">
        <v>50</v>
      </c>
      <c r="F100" s="11" t="n">
        <v>50</v>
      </c>
      <c r="G100" s="10" t="n">
        <v>2</v>
      </c>
      <c r="H100" s="11" t="n">
        <v>45.47</v>
      </c>
      <c r="I100" s="12" t="n">
        <v>2.274</v>
      </c>
      <c r="J100" s="11" t="n">
        <v>136.42</v>
      </c>
      <c r="K100" s="11" t="n">
        <v>379.01</v>
      </c>
    </row>
    <row r="101">
      <c r="A101" s="10" t="n">
        <v>13</v>
      </c>
      <c r="B101" s="10" t="n">
        <v>2008</v>
      </c>
      <c r="C101" s="11" t="n">
        <v>45</v>
      </c>
      <c r="D101" s="11" t="n">
        <v>54.17</v>
      </c>
      <c r="F101" s="11" t="n">
        <v>75</v>
      </c>
      <c r="G101" s="10" t="n">
        <v>1.3</v>
      </c>
      <c r="H101" s="11" t="n">
        <v>40.14</v>
      </c>
      <c r="I101" s="12" t="n">
        <v>2.007</v>
      </c>
      <c r="J101" s="11" t="n">
        <v>120.42</v>
      </c>
      <c r="K101" s="11" t="n">
        <v>334.56</v>
      </c>
    </row>
    <row r="102">
      <c r="A102" s="10" t="n">
        <v>14</v>
      </c>
      <c r="B102" s="10" t="n">
        <v>2023</v>
      </c>
      <c r="C102" s="11" t="n">
        <v>43</v>
      </c>
      <c r="D102" s="11" t="n">
        <v>58.33</v>
      </c>
      <c r="F102" s="11" t="n">
        <v>90</v>
      </c>
      <c r="G102" s="10" t="n">
        <v>1.1</v>
      </c>
      <c r="H102" s="11" t="n">
        <v>36.04</v>
      </c>
      <c r="I102" s="12" t="n">
        <v>1.802</v>
      </c>
      <c r="J102" s="11" t="n">
        <v>108.11</v>
      </c>
      <c r="K102" s="11" t="n">
        <v>300.36</v>
      </c>
    </row>
    <row r="103">
      <c r="A103" s="10" t="n">
        <v>15</v>
      </c>
      <c r="B103" s="10" t="n">
        <v>2005</v>
      </c>
      <c r="C103" s="11" t="n">
        <v>42.6</v>
      </c>
      <c r="D103" s="11" t="n">
        <v>62.5</v>
      </c>
      <c r="F103" s="11" t="n">
        <v>95</v>
      </c>
      <c r="G103" s="10" t="n">
        <v>1.1</v>
      </c>
      <c r="H103" s="11" t="n">
        <v>33.88</v>
      </c>
      <c r="I103" s="12" t="n">
        <v>1.694</v>
      </c>
      <c r="J103" s="11" t="n">
        <v>101.64</v>
      </c>
      <c r="K103" s="11" t="n">
        <v>282.38</v>
      </c>
    </row>
    <row r="104">
      <c r="A104" s="10" t="n">
        <v>16</v>
      </c>
      <c r="B104" s="10" t="n">
        <v>2007</v>
      </c>
      <c r="C104" s="11" t="n">
        <v>41.6</v>
      </c>
      <c r="D104" s="11" t="n">
        <v>66.67</v>
      </c>
    </row>
    <row r="105">
      <c r="A105" s="10" t="n">
        <v>17</v>
      </c>
      <c r="B105" s="10" t="n">
        <v>2010</v>
      </c>
      <c r="C105" s="11" t="n">
        <v>41.2</v>
      </c>
      <c r="D105" s="11" t="n">
        <v>70.83</v>
      </c>
    </row>
    <row r="106">
      <c r="A106" s="10" t="n">
        <v>18</v>
      </c>
      <c r="B106" s="10" t="n">
        <v>2021</v>
      </c>
      <c r="C106" s="11" t="n">
        <v>39.6</v>
      </c>
      <c r="D106" s="11" t="n">
        <v>75</v>
      </c>
    </row>
    <row r="107">
      <c r="A107" s="10" t="n">
        <v>19</v>
      </c>
      <c r="B107" s="10" t="n">
        <v>2013</v>
      </c>
      <c r="C107" s="11" t="n">
        <v>39.2</v>
      </c>
      <c r="D107" s="11" t="n">
        <v>79.17</v>
      </c>
    </row>
    <row r="108">
      <c r="A108" s="10" t="n">
        <v>20</v>
      </c>
      <c r="B108" s="10" t="n">
        <v>2017</v>
      </c>
      <c r="C108" s="11" t="n">
        <v>36</v>
      </c>
      <c r="D108" s="11" t="n">
        <v>83.33</v>
      </c>
    </row>
    <row r="109">
      <c r="A109" s="10" t="n">
        <v>21</v>
      </c>
      <c r="B109" s="10" t="n">
        <v>2025</v>
      </c>
      <c r="C109" s="11" t="n">
        <v>34</v>
      </c>
      <c r="D109" s="11" t="n">
        <v>87.5</v>
      </c>
    </row>
    <row r="110">
      <c r="A110" s="10" t="n">
        <v>22</v>
      </c>
      <c r="B110" s="10" t="n">
        <v>2003</v>
      </c>
      <c r="C110" s="11" t="n">
        <v>33.2</v>
      </c>
      <c r="D110" s="11" t="n">
        <v>91.67</v>
      </c>
    </row>
    <row r="111">
      <c r="A111" s="10" t="n">
        <v>23</v>
      </c>
      <c r="B111" s="10" t="n">
        <v>2006</v>
      </c>
      <c r="C111" s="11" t="n">
        <v>32.7</v>
      </c>
      <c r="D111" s="11" t="n">
        <v>95.83</v>
      </c>
    </row>
    <row r="114">
      <c r="A114" s="7" t="inlineStr">
        <is>
          <t>PHÂN TÍCH TẦN SUẤT THỜI ĐOẠN 30 PHÚT (X_tb=60.15mm, Cv=0.202, Cs=0.708)</t>
        </is>
      </c>
    </row>
    <row r="115">
      <c r="A115" s="8" t="inlineStr">
        <is>
          <t>Bảng Tần Suất Kinh Nghiệm (Weibull)</t>
        </is>
      </c>
      <c r="F115" s="8" t="inlineStr">
        <is>
          <t>Bảng Tần Suất Lý Luận (Pearson III)</t>
        </is>
      </c>
    </row>
    <row r="116">
      <c r="A116" s="9" t="inlineStr">
        <is>
          <t>Hạng (m)</t>
        </is>
      </c>
      <c r="B116" s="9" t="inlineStr">
        <is>
          <t>Năm</t>
        </is>
      </c>
      <c r="C116" s="9" t="inlineStr">
        <is>
          <t>H (mm)</t>
        </is>
      </c>
      <c r="D116" s="9" t="inlineStr">
        <is>
          <t>P_kinh_nghiệm (%)</t>
        </is>
      </c>
      <c r="F116" s="9" t="inlineStr">
        <is>
          <t>Tần suất P (%)</t>
        </is>
      </c>
      <c r="G116" s="9" t="inlineStr">
        <is>
          <t>Chu kỳ T (năm)</t>
        </is>
      </c>
      <c r="H116" s="9" t="inlineStr">
        <is>
          <t>H_p (mm)</t>
        </is>
      </c>
      <c r="I116" s="9" t="inlineStr">
        <is>
          <t>I (mm/phút)</t>
        </is>
      </c>
      <c r="J116" s="9" t="inlineStr">
        <is>
          <t>I (mm/h)</t>
        </is>
      </c>
      <c r="K116" s="9" t="inlineStr">
        <is>
          <t>q (l/s.ha)</t>
        </is>
      </c>
    </row>
    <row r="117">
      <c r="A117" s="10" t="n">
        <v>1</v>
      </c>
      <c r="B117" s="10" t="n">
        <v>2011</v>
      </c>
      <c r="C117" s="11" t="n">
        <v>77.8</v>
      </c>
      <c r="D117" s="11" t="n">
        <v>4.17</v>
      </c>
      <c r="F117" s="11" t="n">
        <v>0.1</v>
      </c>
      <c r="G117" s="10" t="n">
        <v>1000</v>
      </c>
      <c r="H117" s="11" t="n">
        <v>110.14</v>
      </c>
      <c r="I117" s="12" t="n">
        <v>3.671</v>
      </c>
      <c r="J117" s="11" t="n">
        <v>220.29</v>
      </c>
      <c r="K117" s="11" t="n">
        <v>612.03</v>
      </c>
    </row>
    <row r="118">
      <c r="A118" s="10" t="n">
        <v>2</v>
      </c>
      <c r="B118" s="10" t="n">
        <v>2014</v>
      </c>
      <c r="C118" s="11" t="n">
        <v>76.2</v>
      </c>
      <c r="D118" s="11" t="n">
        <v>8.33</v>
      </c>
      <c r="F118" s="11" t="n">
        <v>0.5</v>
      </c>
      <c r="G118" s="10" t="n">
        <v>200</v>
      </c>
      <c r="H118" s="11" t="n">
        <v>99.42</v>
      </c>
      <c r="I118" s="12" t="n">
        <v>3.314</v>
      </c>
      <c r="J118" s="11" t="n">
        <v>198.85</v>
      </c>
      <c r="K118" s="11" t="n">
        <v>552.47</v>
      </c>
    </row>
    <row r="119">
      <c r="A119" s="10" t="n">
        <v>3</v>
      </c>
      <c r="B119" s="10" t="n">
        <v>2024</v>
      </c>
      <c r="C119" s="11" t="n">
        <v>75.8</v>
      </c>
      <c r="D119" s="11" t="n">
        <v>12.5</v>
      </c>
      <c r="F119" s="11" t="n">
        <v>1</v>
      </c>
      <c r="G119" s="10" t="n">
        <v>100</v>
      </c>
      <c r="H119" s="11" t="n">
        <v>94.55</v>
      </c>
      <c r="I119" s="12" t="n">
        <v>3.152</v>
      </c>
      <c r="J119" s="11" t="n">
        <v>189.1</v>
      </c>
      <c r="K119" s="11" t="n">
        <v>525.38</v>
      </c>
    </row>
    <row r="120">
      <c r="A120" s="10" t="n">
        <v>4</v>
      </c>
      <c r="B120" s="10" t="n">
        <v>2022</v>
      </c>
      <c r="C120" s="11" t="n">
        <v>74.59999999999999</v>
      </c>
      <c r="D120" s="11" t="n">
        <v>16.67</v>
      </c>
      <c r="F120" s="11" t="n">
        <v>2</v>
      </c>
      <c r="G120" s="10" t="n">
        <v>50</v>
      </c>
      <c r="H120" s="11" t="n">
        <v>89.45999999999999</v>
      </c>
      <c r="I120" s="12" t="n">
        <v>2.982</v>
      </c>
      <c r="J120" s="11" t="n">
        <v>178.92</v>
      </c>
      <c r="K120" s="11" t="n">
        <v>497.1</v>
      </c>
    </row>
    <row r="121">
      <c r="A121" s="10" t="n">
        <v>5</v>
      </c>
      <c r="B121" s="10" t="n">
        <v>2019</v>
      </c>
      <c r="C121" s="11" t="n">
        <v>74.5</v>
      </c>
      <c r="D121" s="11" t="n">
        <v>20.83</v>
      </c>
      <c r="F121" s="11" t="n">
        <v>3</v>
      </c>
      <c r="G121" s="10" t="n">
        <v>33.3</v>
      </c>
      <c r="H121" s="11" t="n">
        <v>86.36</v>
      </c>
      <c r="I121" s="12" t="n">
        <v>2.879</v>
      </c>
      <c r="J121" s="11" t="n">
        <v>172.72</v>
      </c>
      <c r="K121" s="11" t="n">
        <v>479.87</v>
      </c>
    </row>
    <row r="122">
      <c r="A122" s="10" t="n">
        <v>6</v>
      </c>
      <c r="B122" s="10" t="n">
        <v>2009</v>
      </c>
      <c r="C122" s="11" t="n">
        <v>73.40000000000001</v>
      </c>
      <c r="D122" s="11" t="n">
        <v>25</v>
      </c>
      <c r="F122" s="11" t="n">
        <v>4</v>
      </c>
      <c r="G122" s="10" t="n">
        <v>25</v>
      </c>
      <c r="H122" s="11" t="n">
        <v>84.09</v>
      </c>
      <c r="I122" s="12" t="n">
        <v>2.803</v>
      </c>
      <c r="J122" s="11" t="n">
        <v>168.18</v>
      </c>
      <c r="K122" s="11" t="n">
        <v>467.26</v>
      </c>
    </row>
    <row r="123">
      <c r="A123" s="10" t="n">
        <v>7</v>
      </c>
      <c r="B123" s="10" t="n">
        <v>2018</v>
      </c>
      <c r="C123" s="11" t="n">
        <v>73.2</v>
      </c>
      <c r="D123" s="11" t="n">
        <v>29.17</v>
      </c>
      <c r="F123" s="11" t="n">
        <v>5</v>
      </c>
      <c r="G123" s="10" t="n">
        <v>20</v>
      </c>
      <c r="H123" s="11" t="n">
        <v>82.29000000000001</v>
      </c>
      <c r="I123" s="12" t="n">
        <v>2.743</v>
      </c>
      <c r="J123" s="11" t="n">
        <v>164.57</v>
      </c>
      <c r="K123" s="11" t="n">
        <v>457.24</v>
      </c>
    </row>
    <row r="124">
      <c r="A124" s="10" t="n">
        <v>8</v>
      </c>
      <c r="B124" s="10" t="n">
        <v>2020</v>
      </c>
      <c r="C124" s="11" t="n">
        <v>67.2</v>
      </c>
      <c r="D124" s="11" t="n">
        <v>33.33</v>
      </c>
      <c r="F124" s="11" t="n">
        <v>10</v>
      </c>
      <c r="G124" s="10" t="n">
        <v>10</v>
      </c>
      <c r="H124" s="11" t="n">
        <v>76.36</v>
      </c>
      <c r="I124" s="12" t="n">
        <v>2.545</v>
      </c>
      <c r="J124" s="11" t="n">
        <v>152.73</v>
      </c>
      <c r="K124" s="11" t="n">
        <v>424.33</v>
      </c>
    </row>
    <row r="125">
      <c r="A125" s="10" t="n">
        <v>9</v>
      </c>
      <c r="B125" s="10" t="n">
        <v>2004</v>
      </c>
      <c r="C125" s="11" t="n">
        <v>65.8</v>
      </c>
      <c r="D125" s="11" t="n">
        <v>37.5</v>
      </c>
      <c r="F125" s="11" t="n">
        <v>20</v>
      </c>
      <c r="G125" s="10" t="n">
        <v>5</v>
      </c>
      <c r="H125" s="11" t="n">
        <v>69.75</v>
      </c>
      <c r="I125" s="12" t="n">
        <v>2.325</v>
      </c>
      <c r="J125" s="11" t="n">
        <v>139.5</v>
      </c>
      <c r="K125" s="11" t="n">
        <v>387.58</v>
      </c>
    </row>
    <row r="126">
      <c r="A126" s="10" t="n">
        <v>10</v>
      </c>
      <c r="B126" s="10" t="n">
        <v>2012</v>
      </c>
      <c r="C126" s="11" t="n">
        <v>63</v>
      </c>
      <c r="D126" s="11" t="n">
        <v>41.67</v>
      </c>
      <c r="F126" s="11" t="n">
        <v>25</v>
      </c>
      <c r="G126" s="10" t="n">
        <v>4</v>
      </c>
      <c r="H126" s="11" t="n">
        <v>67.39</v>
      </c>
      <c r="I126" s="12" t="n">
        <v>2.246</v>
      </c>
      <c r="J126" s="11" t="n">
        <v>134.79</v>
      </c>
      <c r="K126" s="11" t="n">
        <v>374.48</v>
      </c>
    </row>
    <row r="127">
      <c r="A127" s="10" t="n">
        <v>11</v>
      </c>
      <c r="B127" s="10" t="n">
        <v>2016</v>
      </c>
      <c r="C127" s="11" t="n">
        <v>59.5</v>
      </c>
      <c r="D127" s="11" t="n">
        <v>45.83</v>
      </c>
      <c r="F127" s="11" t="n">
        <v>33.3</v>
      </c>
      <c r="G127" s="10" t="n">
        <v>3</v>
      </c>
      <c r="H127" s="11" t="n">
        <v>64.12</v>
      </c>
      <c r="I127" s="12" t="n">
        <v>2.137</v>
      </c>
      <c r="J127" s="11" t="n">
        <v>128.24</v>
      </c>
      <c r="K127" s="11" t="n">
        <v>356.29</v>
      </c>
    </row>
    <row r="128">
      <c r="A128" s="10" t="n">
        <v>12</v>
      </c>
      <c r="B128" s="10" t="n">
        <v>2023</v>
      </c>
      <c r="C128" s="11" t="n">
        <v>59.5</v>
      </c>
      <c r="D128" s="11" t="n">
        <v>50</v>
      </c>
      <c r="F128" s="11" t="n">
        <v>50</v>
      </c>
      <c r="G128" s="10" t="n">
        <v>2</v>
      </c>
      <c r="H128" s="11" t="n">
        <v>58.73</v>
      </c>
      <c r="I128" s="12" t="n">
        <v>1.958</v>
      </c>
      <c r="J128" s="11" t="n">
        <v>117.46</v>
      </c>
      <c r="K128" s="11" t="n">
        <v>326.34</v>
      </c>
    </row>
    <row r="129">
      <c r="A129" s="10" t="n">
        <v>13</v>
      </c>
      <c r="B129" s="10" t="n">
        <v>2015</v>
      </c>
      <c r="C129" s="11" t="n">
        <v>57.3</v>
      </c>
      <c r="D129" s="11" t="n">
        <v>54.17</v>
      </c>
      <c r="F129" s="11" t="n">
        <v>75</v>
      </c>
      <c r="G129" s="10" t="n">
        <v>1.3</v>
      </c>
      <c r="H129" s="11" t="n">
        <v>51.36</v>
      </c>
      <c r="I129" s="12" t="n">
        <v>1.712</v>
      </c>
      <c r="J129" s="11" t="n">
        <v>102.73</v>
      </c>
      <c r="K129" s="11" t="n">
        <v>285.42</v>
      </c>
    </row>
    <row r="130">
      <c r="A130" s="10" t="n">
        <v>14</v>
      </c>
      <c r="B130" s="10" t="n">
        <v>2005</v>
      </c>
      <c r="C130" s="11" t="n">
        <v>55.4</v>
      </c>
      <c r="D130" s="11" t="n">
        <v>58.33</v>
      </c>
      <c r="F130" s="11" t="n">
        <v>90</v>
      </c>
      <c r="G130" s="10" t="n">
        <v>1.1</v>
      </c>
      <c r="H130" s="11" t="n">
        <v>45.78</v>
      </c>
      <c r="I130" s="12" t="n">
        <v>1.526</v>
      </c>
      <c r="J130" s="11" t="n">
        <v>91.55</v>
      </c>
      <c r="K130" s="11" t="n">
        <v>254.37</v>
      </c>
    </row>
    <row r="131">
      <c r="A131" s="10" t="n">
        <v>15</v>
      </c>
      <c r="B131" s="10" t="n">
        <v>2010</v>
      </c>
      <c r="C131" s="11" t="n">
        <v>55</v>
      </c>
      <c r="D131" s="11" t="n">
        <v>62.5</v>
      </c>
      <c r="F131" s="11" t="n">
        <v>95</v>
      </c>
      <c r="G131" s="10" t="n">
        <v>1.1</v>
      </c>
      <c r="H131" s="11" t="n">
        <v>42.87</v>
      </c>
      <c r="I131" s="12" t="n">
        <v>1.429</v>
      </c>
      <c r="J131" s="11" t="n">
        <v>85.75</v>
      </c>
      <c r="K131" s="11" t="n">
        <v>238.24</v>
      </c>
    </row>
    <row r="132">
      <c r="A132" s="10" t="n">
        <v>16</v>
      </c>
      <c r="B132" s="10" t="n">
        <v>2013</v>
      </c>
      <c r="C132" s="11" t="n">
        <v>53.5</v>
      </c>
      <c r="D132" s="11" t="n">
        <v>66.67</v>
      </c>
    </row>
    <row r="133">
      <c r="A133" s="10" t="n">
        <v>17</v>
      </c>
      <c r="B133" s="10" t="n">
        <v>2008</v>
      </c>
      <c r="C133" s="11" t="n">
        <v>52.2</v>
      </c>
      <c r="D133" s="11" t="n">
        <v>70.83</v>
      </c>
    </row>
    <row r="134">
      <c r="A134" s="10" t="n">
        <v>18</v>
      </c>
      <c r="B134" s="10" t="n">
        <v>2021</v>
      </c>
      <c r="C134" s="11" t="n">
        <v>49.2</v>
      </c>
      <c r="D134" s="11" t="n">
        <v>75</v>
      </c>
    </row>
    <row r="135">
      <c r="A135" s="10" t="n">
        <v>19</v>
      </c>
      <c r="B135" s="10" t="n">
        <v>2007</v>
      </c>
      <c r="C135" s="11" t="n">
        <v>45.8</v>
      </c>
      <c r="D135" s="11" t="n">
        <v>79.17</v>
      </c>
    </row>
    <row r="136">
      <c r="A136" s="10" t="n">
        <v>20</v>
      </c>
      <c r="B136" s="10" t="n">
        <v>2017</v>
      </c>
      <c r="C136" s="11" t="n">
        <v>44.7</v>
      </c>
      <c r="D136" s="11" t="n">
        <v>83.33</v>
      </c>
    </row>
    <row r="137">
      <c r="A137" s="10" t="n">
        <v>21</v>
      </c>
      <c r="B137" s="10" t="n">
        <v>2006</v>
      </c>
      <c r="C137" s="11" t="n">
        <v>44.7</v>
      </c>
      <c r="D137" s="11" t="n">
        <v>87.5</v>
      </c>
    </row>
    <row r="138">
      <c r="A138" s="10" t="n">
        <v>22</v>
      </c>
      <c r="B138" s="10" t="n">
        <v>2025</v>
      </c>
      <c r="C138" s="11" t="n">
        <v>44</v>
      </c>
      <c r="D138" s="11" t="n">
        <v>91.67</v>
      </c>
    </row>
    <row r="139">
      <c r="A139" s="10" t="n">
        <v>23</v>
      </c>
      <c r="B139" s="10" t="n">
        <v>2003</v>
      </c>
      <c r="C139" s="11" t="n">
        <v>41.2</v>
      </c>
      <c r="D139" s="11" t="n">
        <v>95.83</v>
      </c>
    </row>
    <row r="142">
      <c r="A142" s="7" t="inlineStr">
        <is>
          <t>PHÂN TÍCH TẦN SUẤT THỜI ĐOẠN 45 PHÚT (X_tb=71.84mm, Cv=0.214, Cs=0.750)</t>
        </is>
      </c>
    </row>
    <row r="143">
      <c r="A143" s="8" t="inlineStr">
        <is>
          <t>Bảng Tần Suất Kinh Nghiệm (Weibull)</t>
        </is>
      </c>
      <c r="F143" s="8" t="inlineStr">
        <is>
          <t>Bảng Tần Suất Lý Luận (Pearson III)</t>
        </is>
      </c>
    </row>
    <row r="144">
      <c r="A144" s="9" t="inlineStr">
        <is>
          <t>Hạng (m)</t>
        </is>
      </c>
      <c r="B144" s="9" t="inlineStr">
        <is>
          <t>Năm</t>
        </is>
      </c>
      <c r="C144" s="9" t="inlineStr">
        <is>
          <t>H (mm)</t>
        </is>
      </c>
      <c r="D144" s="9" t="inlineStr">
        <is>
          <t>P_kinh_nghiệm (%)</t>
        </is>
      </c>
      <c r="F144" s="9" t="inlineStr">
        <is>
          <t>Tần suất P (%)</t>
        </is>
      </c>
      <c r="G144" s="9" t="inlineStr">
        <is>
          <t>Chu kỳ T (năm)</t>
        </is>
      </c>
      <c r="H144" s="9" t="inlineStr">
        <is>
          <t>H_p (mm)</t>
        </is>
      </c>
      <c r="I144" s="9" t="inlineStr">
        <is>
          <t>I (mm/phút)</t>
        </is>
      </c>
      <c r="J144" s="9" t="inlineStr">
        <is>
          <t>I (mm/h)</t>
        </is>
      </c>
      <c r="K144" s="9" t="inlineStr">
        <is>
          <t>q (l/s.ha)</t>
        </is>
      </c>
    </row>
    <row r="145">
      <c r="A145" s="10" t="n">
        <v>1</v>
      </c>
      <c r="B145" s="10" t="n">
        <v>2019</v>
      </c>
      <c r="C145" s="11" t="n">
        <v>101.5</v>
      </c>
      <c r="D145" s="11" t="n">
        <v>4.17</v>
      </c>
      <c r="F145" s="11" t="n">
        <v>0.1</v>
      </c>
      <c r="G145" s="10" t="n">
        <v>1000</v>
      </c>
      <c r="H145" s="11" t="n">
        <v>136.07</v>
      </c>
      <c r="I145" s="12" t="n">
        <v>3.024</v>
      </c>
      <c r="J145" s="11" t="n">
        <v>181.43</v>
      </c>
      <c r="K145" s="11" t="n">
        <v>504.06</v>
      </c>
    </row>
    <row r="146">
      <c r="A146" s="10" t="n">
        <v>2</v>
      </c>
      <c r="B146" s="10" t="n">
        <v>2024</v>
      </c>
      <c r="C146" s="11" t="n">
        <v>95.2</v>
      </c>
      <c r="D146" s="11" t="n">
        <v>8.33</v>
      </c>
      <c r="F146" s="11" t="n">
        <v>0.5</v>
      </c>
      <c r="G146" s="10" t="n">
        <v>200</v>
      </c>
      <c r="H146" s="11" t="n">
        <v>122.15</v>
      </c>
      <c r="I146" s="12" t="n">
        <v>2.714</v>
      </c>
      <c r="J146" s="11" t="n">
        <v>162.86</v>
      </c>
      <c r="K146" s="11" t="n">
        <v>452.48</v>
      </c>
    </row>
    <row r="147">
      <c r="A147" s="10" t="n">
        <v>3</v>
      </c>
      <c r="B147" s="10" t="n">
        <v>2022</v>
      </c>
      <c r="C147" s="11" t="n">
        <v>94.2</v>
      </c>
      <c r="D147" s="11" t="n">
        <v>12.5</v>
      </c>
      <c r="F147" s="11" t="n">
        <v>1</v>
      </c>
      <c r="G147" s="10" t="n">
        <v>100</v>
      </c>
      <c r="H147" s="11" t="n">
        <v>115.83</v>
      </c>
      <c r="I147" s="12" t="n">
        <v>2.574</v>
      </c>
      <c r="J147" s="11" t="n">
        <v>154.44</v>
      </c>
      <c r="K147" s="11" t="n">
        <v>429.08</v>
      </c>
    </row>
    <row r="148">
      <c r="A148" s="10" t="n">
        <v>4</v>
      </c>
      <c r="B148" s="10" t="n">
        <v>2011</v>
      </c>
      <c r="C148" s="11" t="n">
        <v>92.90000000000001</v>
      </c>
      <c r="D148" s="11" t="n">
        <v>16.67</v>
      </c>
      <c r="F148" s="11" t="n">
        <v>2</v>
      </c>
      <c r="G148" s="10" t="n">
        <v>50</v>
      </c>
      <c r="H148" s="11" t="n">
        <v>109.25</v>
      </c>
      <c r="I148" s="12" t="n">
        <v>2.428</v>
      </c>
      <c r="J148" s="11" t="n">
        <v>145.67</v>
      </c>
      <c r="K148" s="11" t="n">
        <v>404.71</v>
      </c>
    </row>
    <row r="149">
      <c r="A149" s="10" t="n">
        <v>5</v>
      </c>
      <c r="B149" s="10" t="n">
        <v>2014</v>
      </c>
      <c r="C149" s="11" t="n">
        <v>91.3</v>
      </c>
      <c r="D149" s="11" t="n">
        <v>20.83</v>
      </c>
      <c r="F149" s="11" t="n">
        <v>3</v>
      </c>
      <c r="G149" s="10" t="n">
        <v>33.3</v>
      </c>
      <c r="H149" s="11" t="n">
        <v>105.25</v>
      </c>
      <c r="I149" s="12" t="n">
        <v>2.339</v>
      </c>
      <c r="J149" s="11" t="n">
        <v>140.33</v>
      </c>
      <c r="K149" s="11" t="n">
        <v>389.88</v>
      </c>
    </row>
    <row r="150">
      <c r="A150" s="10" t="n">
        <v>6</v>
      </c>
      <c r="B150" s="10" t="n">
        <v>2004</v>
      </c>
      <c r="C150" s="11" t="n">
        <v>84.5</v>
      </c>
      <c r="D150" s="11" t="n">
        <v>25</v>
      </c>
      <c r="F150" s="11" t="n">
        <v>4</v>
      </c>
      <c r="G150" s="10" t="n">
        <v>25</v>
      </c>
      <c r="H150" s="11" t="n">
        <v>102.32</v>
      </c>
      <c r="I150" s="12" t="n">
        <v>2.274</v>
      </c>
      <c r="J150" s="11" t="n">
        <v>136.43</v>
      </c>
      <c r="K150" s="11" t="n">
        <v>379.05</v>
      </c>
    </row>
    <row r="151">
      <c r="A151" s="10" t="n">
        <v>7</v>
      </c>
      <c r="B151" s="10" t="n">
        <v>2009</v>
      </c>
      <c r="C151" s="11" t="n">
        <v>80.5</v>
      </c>
      <c r="D151" s="11" t="n">
        <v>29.17</v>
      </c>
      <c r="F151" s="11" t="n">
        <v>5</v>
      </c>
      <c r="G151" s="10" t="n">
        <v>20</v>
      </c>
      <c r="H151" s="11" t="n">
        <v>100</v>
      </c>
      <c r="I151" s="12" t="n">
        <v>2.222</v>
      </c>
      <c r="J151" s="11" t="n">
        <v>133.33</v>
      </c>
      <c r="K151" s="11" t="n">
        <v>370.44</v>
      </c>
    </row>
    <row r="152">
      <c r="A152" s="10" t="n">
        <v>8</v>
      </c>
      <c r="B152" s="10" t="n">
        <v>2018</v>
      </c>
      <c r="C152" s="11" t="n">
        <v>78.90000000000001</v>
      </c>
      <c r="D152" s="11" t="n">
        <v>33.33</v>
      </c>
      <c r="F152" s="11" t="n">
        <v>10</v>
      </c>
      <c r="G152" s="10" t="n">
        <v>10</v>
      </c>
      <c r="H152" s="11" t="n">
        <v>92.39</v>
      </c>
      <c r="I152" s="12" t="n">
        <v>2.053</v>
      </c>
      <c r="J152" s="11" t="n">
        <v>123.19</v>
      </c>
      <c r="K152" s="11" t="n">
        <v>342.26</v>
      </c>
    </row>
    <row r="153">
      <c r="A153" s="10" t="n">
        <v>9</v>
      </c>
      <c r="B153" s="10" t="n">
        <v>2020</v>
      </c>
      <c r="C153" s="11" t="n">
        <v>74.8</v>
      </c>
      <c r="D153" s="11" t="n">
        <v>37.5</v>
      </c>
      <c r="F153" s="11" t="n">
        <v>20</v>
      </c>
      <c r="G153" s="10" t="n">
        <v>5</v>
      </c>
      <c r="H153" s="11" t="n">
        <v>83.93000000000001</v>
      </c>
      <c r="I153" s="12" t="n">
        <v>1.865</v>
      </c>
      <c r="J153" s="11" t="n">
        <v>111.9</v>
      </c>
      <c r="K153" s="11" t="n">
        <v>310.91</v>
      </c>
    </row>
    <row r="154">
      <c r="A154" s="10" t="n">
        <v>10</v>
      </c>
      <c r="B154" s="10" t="n">
        <v>2012</v>
      </c>
      <c r="C154" s="11" t="n">
        <v>73</v>
      </c>
      <c r="D154" s="11" t="n">
        <v>41.67</v>
      </c>
      <c r="F154" s="11" t="n">
        <v>25</v>
      </c>
      <c r="G154" s="10" t="n">
        <v>4</v>
      </c>
      <c r="H154" s="11" t="n">
        <v>80.92</v>
      </c>
      <c r="I154" s="12" t="n">
        <v>1.798</v>
      </c>
      <c r="J154" s="11" t="n">
        <v>107.9</v>
      </c>
      <c r="K154" s="11" t="n">
        <v>299.78</v>
      </c>
    </row>
    <row r="155">
      <c r="A155" s="10" t="n">
        <v>11</v>
      </c>
      <c r="B155" s="10" t="n">
        <v>2023</v>
      </c>
      <c r="C155" s="11" t="n">
        <v>72.8</v>
      </c>
      <c r="D155" s="11" t="n">
        <v>45.83</v>
      </c>
      <c r="F155" s="11" t="n">
        <v>33.3</v>
      </c>
      <c r="G155" s="10" t="n">
        <v>3</v>
      </c>
      <c r="H155" s="11" t="n">
        <v>76.76000000000001</v>
      </c>
      <c r="I155" s="12" t="n">
        <v>1.706</v>
      </c>
      <c r="J155" s="11" t="n">
        <v>102.35</v>
      </c>
      <c r="K155" s="11" t="n">
        <v>284.35</v>
      </c>
    </row>
    <row r="156">
      <c r="A156" s="10" t="n">
        <v>12</v>
      </c>
      <c r="B156" s="10" t="n">
        <v>2016</v>
      </c>
      <c r="C156" s="11" t="n">
        <v>69.3</v>
      </c>
      <c r="D156" s="11" t="n">
        <v>50</v>
      </c>
      <c r="F156" s="11" t="n">
        <v>50</v>
      </c>
      <c r="G156" s="10" t="n">
        <v>2</v>
      </c>
      <c r="H156" s="11" t="n">
        <v>69.94</v>
      </c>
      <c r="I156" s="12" t="n">
        <v>1.554</v>
      </c>
      <c r="J156" s="11" t="n">
        <v>93.25</v>
      </c>
      <c r="K156" s="11" t="n">
        <v>259.08</v>
      </c>
    </row>
    <row r="157">
      <c r="A157" s="10" t="n">
        <v>13</v>
      </c>
      <c r="B157" s="10" t="n">
        <v>2010</v>
      </c>
      <c r="C157" s="11" t="n">
        <v>64.40000000000001</v>
      </c>
      <c r="D157" s="11" t="n">
        <v>54.17</v>
      </c>
      <c r="F157" s="11" t="n">
        <v>75</v>
      </c>
      <c r="G157" s="10" t="n">
        <v>1.3</v>
      </c>
      <c r="H157" s="11" t="n">
        <v>60.69</v>
      </c>
      <c r="I157" s="12" t="n">
        <v>1.349</v>
      </c>
      <c r="J157" s="11" t="n">
        <v>80.92</v>
      </c>
      <c r="K157" s="11" t="n">
        <v>224.83</v>
      </c>
    </row>
    <row r="158">
      <c r="A158" s="10" t="n">
        <v>14</v>
      </c>
      <c r="B158" s="10" t="n">
        <v>2015</v>
      </c>
      <c r="C158" s="11" t="n">
        <v>63.8</v>
      </c>
      <c r="D158" s="11" t="n">
        <v>58.33</v>
      </c>
      <c r="F158" s="11" t="n">
        <v>90</v>
      </c>
      <c r="G158" s="10" t="n">
        <v>1.1</v>
      </c>
      <c r="H158" s="11" t="n">
        <v>53.76</v>
      </c>
      <c r="I158" s="12" t="n">
        <v>1.195</v>
      </c>
      <c r="J158" s="11" t="n">
        <v>71.68000000000001</v>
      </c>
      <c r="K158" s="11" t="n">
        <v>199.15</v>
      </c>
    </row>
    <row r="159">
      <c r="A159" s="10" t="n">
        <v>15</v>
      </c>
      <c r="B159" s="10" t="n">
        <v>2013</v>
      </c>
      <c r="C159" s="11" t="n">
        <v>61.5</v>
      </c>
      <c r="D159" s="11" t="n">
        <v>62.5</v>
      </c>
      <c r="F159" s="11" t="n">
        <v>95</v>
      </c>
      <c r="G159" s="10" t="n">
        <v>1.1</v>
      </c>
      <c r="H159" s="11" t="n">
        <v>50.2</v>
      </c>
      <c r="I159" s="12" t="n">
        <v>1.116</v>
      </c>
      <c r="J159" s="11" t="n">
        <v>66.93000000000001</v>
      </c>
      <c r="K159" s="11" t="n">
        <v>185.96</v>
      </c>
    </row>
    <row r="160">
      <c r="A160" s="10" t="n">
        <v>16</v>
      </c>
      <c r="B160" s="10" t="n">
        <v>2005</v>
      </c>
      <c r="C160" s="11" t="n">
        <v>61.4</v>
      </c>
      <c r="D160" s="11" t="n">
        <v>66.67</v>
      </c>
    </row>
    <row r="161">
      <c r="A161" s="10" t="n">
        <v>17</v>
      </c>
      <c r="B161" s="10" t="n">
        <v>2021</v>
      </c>
      <c r="C161" s="11" t="n">
        <v>60.5</v>
      </c>
      <c r="D161" s="11" t="n">
        <v>70.83</v>
      </c>
    </row>
    <row r="162">
      <c r="A162" s="10" t="n">
        <v>18</v>
      </c>
      <c r="B162" s="10" t="n">
        <v>2008</v>
      </c>
      <c r="C162" s="11" t="n">
        <v>58.9</v>
      </c>
      <c r="D162" s="11" t="n">
        <v>75</v>
      </c>
    </row>
    <row r="163">
      <c r="A163" s="10" t="n">
        <v>19</v>
      </c>
      <c r="B163" s="10" t="n">
        <v>2025</v>
      </c>
      <c r="C163" s="11" t="n">
        <v>58.4</v>
      </c>
      <c r="D163" s="11" t="n">
        <v>79.17</v>
      </c>
    </row>
    <row r="164">
      <c r="A164" s="10" t="n">
        <v>20</v>
      </c>
      <c r="B164" s="10" t="n">
        <v>2006</v>
      </c>
      <c r="C164" s="11" t="n">
        <v>57.6</v>
      </c>
      <c r="D164" s="11" t="n">
        <v>83.33</v>
      </c>
    </row>
    <row r="165">
      <c r="A165" s="10" t="n">
        <v>21</v>
      </c>
      <c r="B165" s="10" t="n">
        <v>2003</v>
      </c>
      <c r="C165" s="11" t="n">
        <v>54</v>
      </c>
      <c r="D165" s="11" t="n">
        <v>87.5</v>
      </c>
    </row>
    <row r="166">
      <c r="A166" s="10" t="n">
        <v>22</v>
      </c>
      <c r="B166" s="10" t="n">
        <v>2007</v>
      </c>
      <c r="C166" s="11" t="n">
        <v>52.5</v>
      </c>
      <c r="D166" s="11" t="n">
        <v>91.67</v>
      </c>
    </row>
    <row r="167">
      <c r="A167" s="10" t="n">
        <v>23</v>
      </c>
      <c r="B167" s="10" t="n">
        <v>2017</v>
      </c>
      <c r="C167" s="11" t="n">
        <v>50.5</v>
      </c>
      <c r="D167" s="11" t="n">
        <v>95.83</v>
      </c>
    </row>
    <row r="170">
      <c r="A170" s="7" t="inlineStr">
        <is>
          <t>PHÂN TÍCH TẦN SUẤT THỜI ĐOẠN 60 PHÚT (X_tb=81.86mm, Cv=0.205, Cs=0.719)</t>
        </is>
      </c>
    </row>
    <row r="171">
      <c r="A171" s="8" t="inlineStr">
        <is>
          <t>Bảng Tần Suất Kinh Nghiệm (Weibull)</t>
        </is>
      </c>
      <c r="F171" s="8" t="inlineStr">
        <is>
          <t>Bảng Tần Suất Lý Luận (Pearson III)</t>
        </is>
      </c>
    </row>
    <row r="172">
      <c r="A172" s="9" t="inlineStr">
        <is>
          <t>Hạng (m)</t>
        </is>
      </c>
      <c r="B172" s="9" t="inlineStr">
        <is>
          <t>Năm</t>
        </is>
      </c>
      <c r="C172" s="9" t="inlineStr">
        <is>
          <t>H (mm)</t>
        </is>
      </c>
      <c r="D172" s="9" t="inlineStr">
        <is>
          <t>P_kinh_nghiệm (%)</t>
        </is>
      </c>
      <c r="F172" s="9" t="inlineStr">
        <is>
          <t>Tần suất P (%)</t>
        </is>
      </c>
      <c r="G172" s="9" t="inlineStr">
        <is>
          <t>Chu kỳ T (năm)</t>
        </is>
      </c>
      <c r="H172" s="9" t="inlineStr">
        <is>
          <t>H_p (mm)</t>
        </is>
      </c>
      <c r="I172" s="9" t="inlineStr">
        <is>
          <t>I (mm/phút)</t>
        </is>
      </c>
      <c r="J172" s="9" t="inlineStr">
        <is>
          <t>I (mm/h)</t>
        </is>
      </c>
      <c r="K172" s="9" t="inlineStr">
        <is>
          <t>q (l/s.ha)</t>
        </is>
      </c>
    </row>
    <row r="173">
      <c r="A173" s="10" t="n">
        <v>1</v>
      </c>
      <c r="B173" s="10" t="n">
        <v>2019</v>
      </c>
      <c r="C173" s="11" t="n">
        <v>119.1</v>
      </c>
      <c r="D173" s="11" t="n">
        <v>4.17</v>
      </c>
      <c r="F173" s="11" t="n">
        <v>0.1</v>
      </c>
      <c r="G173" s="10" t="n">
        <v>1000</v>
      </c>
      <c r="H173" s="11" t="n">
        <v>151.24</v>
      </c>
      <c r="I173" s="12" t="n">
        <v>2.521</v>
      </c>
      <c r="J173" s="11" t="n">
        <v>151.24</v>
      </c>
      <c r="K173" s="11" t="n">
        <v>420.19</v>
      </c>
    </row>
    <row r="174">
      <c r="A174" s="10" t="n">
        <v>2</v>
      </c>
      <c r="B174" s="10" t="n">
        <v>2004</v>
      </c>
      <c r="C174" s="11" t="n">
        <v>112.6</v>
      </c>
      <c r="D174" s="11" t="n">
        <v>8.33</v>
      </c>
      <c r="F174" s="11" t="n">
        <v>0.5</v>
      </c>
      <c r="G174" s="10" t="n">
        <v>200</v>
      </c>
      <c r="H174" s="11" t="n">
        <v>136.32</v>
      </c>
      <c r="I174" s="12" t="n">
        <v>2.272</v>
      </c>
      <c r="J174" s="11" t="n">
        <v>136.32</v>
      </c>
      <c r="K174" s="11" t="n">
        <v>378.74</v>
      </c>
    </row>
    <row r="175">
      <c r="A175" s="10" t="n">
        <v>3</v>
      </c>
      <c r="B175" s="10" t="n">
        <v>2024</v>
      </c>
      <c r="C175" s="11" t="n">
        <v>102.4</v>
      </c>
      <c r="D175" s="11" t="n">
        <v>12.5</v>
      </c>
      <c r="F175" s="11" t="n">
        <v>1</v>
      </c>
      <c r="G175" s="10" t="n">
        <v>100</v>
      </c>
      <c r="H175" s="11" t="n">
        <v>129.54</v>
      </c>
      <c r="I175" s="12" t="n">
        <v>2.159</v>
      </c>
      <c r="J175" s="11" t="n">
        <v>129.54</v>
      </c>
      <c r="K175" s="11" t="n">
        <v>359.9</v>
      </c>
    </row>
    <row r="176">
      <c r="A176" s="10" t="n">
        <v>4</v>
      </c>
      <c r="B176" s="10" t="n">
        <v>2014</v>
      </c>
      <c r="C176" s="11" t="n">
        <v>100.2</v>
      </c>
      <c r="D176" s="11" t="n">
        <v>16.67</v>
      </c>
      <c r="F176" s="11" t="n">
        <v>2</v>
      </c>
      <c r="G176" s="10" t="n">
        <v>50</v>
      </c>
      <c r="H176" s="11" t="n">
        <v>122.46</v>
      </c>
      <c r="I176" s="12" t="n">
        <v>2.041</v>
      </c>
      <c r="J176" s="11" t="n">
        <v>122.46</v>
      </c>
      <c r="K176" s="11" t="n">
        <v>340.24</v>
      </c>
    </row>
    <row r="177">
      <c r="A177" s="10" t="n">
        <v>5</v>
      </c>
      <c r="B177" s="10" t="n">
        <v>2022</v>
      </c>
      <c r="C177" s="11" t="n">
        <v>96.90000000000001</v>
      </c>
      <c r="D177" s="11" t="n">
        <v>20.83</v>
      </c>
      <c r="F177" s="11" t="n">
        <v>3</v>
      </c>
      <c r="G177" s="10" t="n">
        <v>33.3</v>
      </c>
      <c r="H177" s="11" t="n">
        <v>118.15</v>
      </c>
      <c r="I177" s="12" t="n">
        <v>1.969</v>
      </c>
      <c r="J177" s="11" t="n">
        <v>118.15</v>
      </c>
      <c r="K177" s="11" t="n">
        <v>328.27</v>
      </c>
    </row>
    <row r="178">
      <c r="A178" s="10" t="n">
        <v>6</v>
      </c>
      <c r="B178" s="10" t="n">
        <v>2011</v>
      </c>
      <c r="C178" s="11" t="n">
        <v>96.5</v>
      </c>
      <c r="D178" s="11" t="n">
        <v>25</v>
      </c>
      <c r="F178" s="11" t="n">
        <v>4</v>
      </c>
      <c r="G178" s="10" t="n">
        <v>25</v>
      </c>
      <c r="H178" s="11" t="n">
        <v>115</v>
      </c>
      <c r="I178" s="12" t="n">
        <v>1.917</v>
      </c>
      <c r="J178" s="11" t="n">
        <v>115</v>
      </c>
      <c r="K178" s="11" t="n">
        <v>319.51</v>
      </c>
    </row>
    <row r="179">
      <c r="A179" s="10" t="n">
        <v>7</v>
      </c>
      <c r="B179" s="10" t="n">
        <v>2021</v>
      </c>
      <c r="C179" s="11" t="n">
        <v>94.90000000000001</v>
      </c>
      <c r="D179" s="11" t="n">
        <v>29.17</v>
      </c>
      <c r="F179" s="11" t="n">
        <v>5</v>
      </c>
      <c r="G179" s="10" t="n">
        <v>20</v>
      </c>
      <c r="H179" s="11" t="n">
        <v>112.49</v>
      </c>
      <c r="I179" s="12" t="n">
        <v>1.875</v>
      </c>
      <c r="J179" s="11" t="n">
        <v>112.49</v>
      </c>
      <c r="K179" s="11" t="n">
        <v>312.55</v>
      </c>
    </row>
    <row r="180">
      <c r="A180" s="10" t="n">
        <v>8</v>
      </c>
      <c r="B180" s="10" t="n">
        <v>2020</v>
      </c>
      <c r="C180" s="11" t="n">
        <v>89.8</v>
      </c>
      <c r="D180" s="11" t="n">
        <v>33.33</v>
      </c>
      <c r="F180" s="11" t="n">
        <v>10</v>
      </c>
      <c r="G180" s="10" t="n">
        <v>10</v>
      </c>
      <c r="H180" s="11" t="n">
        <v>104.28</v>
      </c>
      <c r="I180" s="12" t="n">
        <v>1.738</v>
      </c>
      <c r="J180" s="11" t="n">
        <v>104.28</v>
      </c>
      <c r="K180" s="11" t="n">
        <v>289.71</v>
      </c>
    </row>
    <row r="181">
      <c r="A181" s="10" t="n">
        <v>9</v>
      </c>
      <c r="B181" s="10" t="n">
        <v>2018</v>
      </c>
      <c r="C181" s="11" t="n">
        <v>84</v>
      </c>
      <c r="D181" s="11" t="n">
        <v>37.5</v>
      </c>
      <c r="F181" s="11" t="n">
        <v>20</v>
      </c>
      <c r="G181" s="10" t="n">
        <v>5</v>
      </c>
      <c r="H181" s="11" t="n">
        <v>95.11</v>
      </c>
      <c r="I181" s="12" t="n">
        <v>1.585</v>
      </c>
      <c r="J181" s="11" t="n">
        <v>95.11</v>
      </c>
      <c r="K181" s="11" t="n">
        <v>264.24</v>
      </c>
    </row>
    <row r="182">
      <c r="A182" s="10" t="n">
        <v>10</v>
      </c>
      <c r="B182" s="10" t="n">
        <v>2009</v>
      </c>
      <c r="C182" s="11" t="n">
        <v>80.7</v>
      </c>
      <c r="D182" s="11" t="n">
        <v>41.67</v>
      </c>
      <c r="F182" s="11" t="n">
        <v>25</v>
      </c>
      <c r="G182" s="10" t="n">
        <v>4</v>
      </c>
      <c r="H182" s="11" t="n">
        <v>91.84</v>
      </c>
      <c r="I182" s="12" t="n">
        <v>1.531</v>
      </c>
      <c r="J182" s="11" t="n">
        <v>91.84</v>
      </c>
      <c r="K182" s="11" t="n">
        <v>255.17</v>
      </c>
    </row>
    <row r="183">
      <c r="A183" s="10" t="n">
        <v>11</v>
      </c>
      <c r="B183" s="10" t="n">
        <v>2012</v>
      </c>
      <c r="C183" s="11" t="n">
        <v>80.2</v>
      </c>
      <c r="D183" s="11" t="n">
        <v>45.83</v>
      </c>
      <c r="F183" s="11" t="n">
        <v>33.3</v>
      </c>
      <c r="G183" s="10" t="n">
        <v>3</v>
      </c>
      <c r="H183" s="11" t="n">
        <v>87.31</v>
      </c>
      <c r="I183" s="12" t="n">
        <v>1.455</v>
      </c>
      <c r="J183" s="11" t="n">
        <v>87.31</v>
      </c>
      <c r="K183" s="11" t="n">
        <v>242.58</v>
      </c>
    </row>
    <row r="184">
      <c r="A184" s="10" t="n">
        <v>12</v>
      </c>
      <c r="B184" s="10" t="n">
        <v>2017</v>
      </c>
      <c r="C184" s="11" t="n">
        <v>75.09999999999999</v>
      </c>
      <c r="D184" s="11" t="n">
        <v>50</v>
      </c>
      <c r="F184" s="11" t="n">
        <v>50</v>
      </c>
      <c r="G184" s="10" t="n">
        <v>2</v>
      </c>
      <c r="H184" s="11" t="n">
        <v>79.86</v>
      </c>
      <c r="I184" s="12" t="n">
        <v>1.331</v>
      </c>
      <c r="J184" s="11" t="n">
        <v>79.86</v>
      </c>
      <c r="K184" s="11" t="n">
        <v>221.87</v>
      </c>
    </row>
    <row r="185">
      <c r="A185" s="10" t="n">
        <v>13</v>
      </c>
      <c r="B185" s="10" t="n">
        <v>2015</v>
      </c>
      <c r="C185" s="11" t="n">
        <v>75</v>
      </c>
      <c r="D185" s="11" t="n">
        <v>54.17</v>
      </c>
      <c r="F185" s="11" t="n">
        <v>75</v>
      </c>
      <c r="G185" s="10" t="n">
        <v>1.3</v>
      </c>
      <c r="H185" s="11" t="n">
        <v>69.7</v>
      </c>
      <c r="I185" s="12" t="n">
        <v>1.162</v>
      </c>
      <c r="J185" s="11" t="n">
        <v>69.7</v>
      </c>
      <c r="K185" s="11" t="n">
        <v>193.65</v>
      </c>
    </row>
    <row r="186">
      <c r="A186" s="10" t="n">
        <v>14</v>
      </c>
      <c r="B186" s="10" t="n">
        <v>2010</v>
      </c>
      <c r="C186" s="11" t="n">
        <v>74.5</v>
      </c>
      <c r="D186" s="11" t="n">
        <v>58.33</v>
      </c>
      <c r="F186" s="11" t="n">
        <v>90</v>
      </c>
      <c r="G186" s="10" t="n">
        <v>1.1</v>
      </c>
      <c r="H186" s="11" t="n">
        <v>62.02</v>
      </c>
      <c r="I186" s="12" t="n">
        <v>1.034</v>
      </c>
      <c r="J186" s="11" t="n">
        <v>62.02</v>
      </c>
      <c r="K186" s="11" t="n">
        <v>172.3</v>
      </c>
    </row>
    <row r="187">
      <c r="A187" s="10" t="n">
        <v>15</v>
      </c>
      <c r="B187" s="10" t="n">
        <v>2023</v>
      </c>
      <c r="C187" s="11" t="n">
        <v>73.59999999999999</v>
      </c>
      <c r="D187" s="11" t="n">
        <v>62.5</v>
      </c>
      <c r="F187" s="11" t="n">
        <v>95</v>
      </c>
      <c r="G187" s="10" t="n">
        <v>1.1</v>
      </c>
      <c r="H187" s="11" t="n">
        <v>58.04</v>
      </c>
      <c r="I187" s="12" t="n">
        <v>0.967</v>
      </c>
      <c r="J187" s="11" t="n">
        <v>58.04</v>
      </c>
      <c r="K187" s="11" t="n">
        <v>161.25</v>
      </c>
    </row>
    <row r="188">
      <c r="A188" s="10" t="n">
        <v>16</v>
      </c>
      <c r="B188" s="10" t="n">
        <v>2016</v>
      </c>
      <c r="C188" s="11" t="n">
        <v>72.7</v>
      </c>
      <c r="D188" s="11" t="n">
        <v>66.67</v>
      </c>
    </row>
    <row r="189">
      <c r="A189" s="10" t="n">
        <v>17</v>
      </c>
      <c r="B189" s="10" t="n">
        <v>2013</v>
      </c>
      <c r="C189" s="11" t="n">
        <v>72.40000000000001</v>
      </c>
      <c r="D189" s="11" t="n">
        <v>70.83</v>
      </c>
    </row>
    <row r="190">
      <c r="A190" s="10" t="n">
        <v>18</v>
      </c>
      <c r="B190" s="10" t="n">
        <v>2005</v>
      </c>
      <c r="C190" s="11" t="n">
        <v>68.2</v>
      </c>
      <c r="D190" s="11" t="n">
        <v>75</v>
      </c>
    </row>
    <row r="191">
      <c r="A191" s="10" t="n">
        <v>19</v>
      </c>
      <c r="B191" s="10" t="n">
        <v>2025</v>
      </c>
      <c r="C191" s="11" t="n">
        <v>67.5</v>
      </c>
      <c r="D191" s="11" t="n">
        <v>79.17</v>
      </c>
    </row>
    <row r="192">
      <c r="A192" s="10" t="n">
        <v>20</v>
      </c>
      <c r="B192" s="10" t="n">
        <v>2006</v>
      </c>
      <c r="C192" s="11" t="n">
        <v>65.2</v>
      </c>
      <c r="D192" s="11" t="n">
        <v>83.33</v>
      </c>
    </row>
    <row r="193">
      <c r="A193" s="10" t="n">
        <v>21</v>
      </c>
      <c r="B193" s="10" t="n">
        <v>2008</v>
      </c>
      <c r="C193" s="11" t="n">
        <v>61.9</v>
      </c>
      <c r="D193" s="11" t="n">
        <v>87.5</v>
      </c>
    </row>
    <row r="194">
      <c r="A194" s="10" t="n">
        <v>22</v>
      </c>
      <c r="B194" s="10" t="n">
        <v>2007</v>
      </c>
      <c r="C194" s="11" t="n">
        <v>60.3</v>
      </c>
      <c r="D194" s="11" t="n">
        <v>91.67</v>
      </c>
    </row>
    <row r="195">
      <c r="A195" s="10" t="n">
        <v>23</v>
      </c>
      <c r="B195" s="10" t="n">
        <v>2003</v>
      </c>
      <c r="C195" s="11" t="n">
        <v>59</v>
      </c>
      <c r="D195" s="11" t="n">
        <v>95.83</v>
      </c>
    </row>
    <row r="198">
      <c r="A198" s="7" t="inlineStr">
        <is>
          <t>PHÂN TÍCH TẦN SUẤT THỜI ĐOẠN 90 PHÚT (X_tb=87.00mm, Cv=0.304, Cs=1.063)</t>
        </is>
      </c>
    </row>
    <row r="199">
      <c r="A199" s="8" t="inlineStr">
        <is>
          <t>Bảng Tần Suất Kinh Nghiệm (Weibull)</t>
        </is>
      </c>
      <c r="F199" s="8" t="inlineStr">
        <is>
          <t>Bảng Tần Suất Lý Luận (Pearson III)</t>
        </is>
      </c>
    </row>
    <row r="200">
      <c r="A200" s="9" t="inlineStr">
        <is>
          <t>Hạng (m)</t>
        </is>
      </c>
      <c r="B200" s="9" t="inlineStr">
        <is>
          <t>Năm</t>
        </is>
      </c>
      <c r="C200" s="9" t="inlineStr">
        <is>
          <t>H (mm)</t>
        </is>
      </c>
      <c r="D200" s="9" t="inlineStr">
        <is>
          <t>P_kinh_nghiệm (%)</t>
        </is>
      </c>
      <c r="F200" s="9" t="inlineStr">
        <is>
          <t>Tần suất P (%)</t>
        </is>
      </c>
      <c r="G200" s="9" t="inlineStr">
        <is>
          <t>Chu kỳ T (năm)</t>
        </is>
      </c>
      <c r="H200" s="9" t="inlineStr">
        <is>
          <t>H_p (mm)</t>
        </is>
      </c>
      <c r="I200" s="9" t="inlineStr">
        <is>
          <t>I (mm/phút)</t>
        </is>
      </c>
      <c r="J200" s="9" t="inlineStr">
        <is>
          <t>I (mm/h)</t>
        </is>
      </c>
      <c r="K200" s="9" t="inlineStr">
        <is>
          <t>q (l/s.ha)</t>
        </is>
      </c>
    </row>
    <row r="201">
      <c r="A201" s="10" t="n">
        <v>1</v>
      </c>
      <c r="B201" s="10" t="n">
        <v>2004</v>
      </c>
      <c r="C201" s="11" t="n">
        <v>136.8</v>
      </c>
      <c r="D201" s="11" t="n">
        <v>4.17</v>
      </c>
      <c r="F201" s="11" t="n">
        <v>0.1</v>
      </c>
      <c r="G201" s="10" t="n">
        <v>1000</v>
      </c>
      <c r="H201" s="11" t="n">
        <v>209.09</v>
      </c>
      <c r="I201" s="12" t="n">
        <v>2.323</v>
      </c>
      <c r="J201" s="11" t="n">
        <v>139.39</v>
      </c>
      <c r="K201" s="11" t="n">
        <v>387.28</v>
      </c>
    </row>
    <row r="202">
      <c r="A202" s="10" t="n">
        <v>2</v>
      </c>
      <c r="B202" s="10" t="n">
        <v>2019</v>
      </c>
      <c r="C202" s="11" t="n">
        <v>135.8</v>
      </c>
      <c r="D202" s="11" t="n">
        <v>8.33</v>
      </c>
      <c r="F202" s="11" t="n">
        <v>0.5</v>
      </c>
      <c r="G202" s="10" t="n">
        <v>200</v>
      </c>
      <c r="H202" s="11" t="n">
        <v>180.62</v>
      </c>
      <c r="I202" s="12" t="n">
        <v>2.007</v>
      </c>
      <c r="J202" s="11" t="n">
        <v>120.41</v>
      </c>
      <c r="K202" s="11" t="n">
        <v>334.55</v>
      </c>
    </row>
    <row r="203">
      <c r="A203" s="10" t="n">
        <v>3</v>
      </c>
      <c r="B203" s="10" t="n">
        <v>2014</v>
      </c>
      <c r="C203" s="11" t="n">
        <v>114.3</v>
      </c>
      <c r="D203" s="11" t="n">
        <v>12.5</v>
      </c>
      <c r="F203" s="11" t="n">
        <v>1</v>
      </c>
      <c r="G203" s="10" t="n">
        <v>100</v>
      </c>
      <c r="H203" s="11" t="n">
        <v>167.93</v>
      </c>
      <c r="I203" s="12" t="n">
        <v>1.866</v>
      </c>
      <c r="J203" s="11" t="n">
        <v>111.95</v>
      </c>
      <c r="K203" s="11" t="n">
        <v>311.04</v>
      </c>
    </row>
    <row r="204">
      <c r="A204" s="10" t="n">
        <v>4</v>
      </c>
      <c r="B204" s="10" t="n">
        <v>2020</v>
      </c>
      <c r="C204" s="11" t="n">
        <v>107.4</v>
      </c>
      <c r="D204" s="11" t="n">
        <v>16.67</v>
      </c>
      <c r="F204" s="11" t="n">
        <v>2</v>
      </c>
      <c r="G204" s="10" t="n">
        <v>50</v>
      </c>
      <c r="H204" s="11" t="n">
        <v>154.88</v>
      </c>
      <c r="I204" s="12" t="n">
        <v>1.721</v>
      </c>
      <c r="J204" s="11" t="n">
        <v>103.25</v>
      </c>
      <c r="K204" s="11" t="n">
        <v>286.87</v>
      </c>
    </row>
    <row r="205">
      <c r="A205" s="10" t="n">
        <v>5</v>
      </c>
      <c r="B205" s="10" t="n">
        <v>2011</v>
      </c>
      <c r="C205" s="11" t="n">
        <v>103.6</v>
      </c>
      <c r="D205" s="11" t="n">
        <v>20.83</v>
      </c>
      <c r="F205" s="11" t="n">
        <v>3</v>
      </c>
      <c r="G205" s="10" t="n">
        <v>33.3</v>
      </c>
      <c r="H205" s="11" t="n">
        <v>147.03</v>
      </c>
      <c r="I205" s="12" t="n">
        <v>1.634</v>
      </c>
      <c r="J205" s="11" t="n">
        <v>98.02</v>
      </c>
      <c r="K205" s="11" t="n">
        <v>272.34</v>
      </c>
    </row>
    <row r="206">
      <c r="A206" s="10" t="n">
        <v>6</v>
      </c>
      <c r="B206" s="10" t="n">
        <v>2024</v>
      </c>
      <c r="C206" s="11" t="n">
        <v>102.5</v>
      </c>
      <c r="D206" s="11" t="n">
        <v>25</v>
      </c>
      <c r="F206" s="11" t="n">
        <v>4</v>
      </c>
      <c r="G206" s="10" t="n">
        <v>25</v>
      </c>
      <c r="H206" s="11" t="n">
        <v>141.35</v>
      </c>
      <c r="I206" s="12" t="n">
        <v>1.571</v>
      </c>
      <c r="J206" s="11" t="n">
        <v>94.23999999999999</v>
      </c>
      <c r="K206" s="11" t="n">
        <v>261.82</v>
      </c>
    </row>
    <row r="207">
      <c r="A207" s="10" t="n">
        <v>7</v>
      </c>
      <c r="B207" s="10" t="n">
        <v>2022</v>
      </c>
      <c r="C207" s="11" t="n">
        <v>97.90000000000001</v>
      </c>
      <c r="D207" s="11" t="n">
        <v>29.17</v>
      </c>
      <c r="F207" s="11" t="n">
        <v>5</v>
      </c>
      <c r="G207" s="10" t="n">
        <v>20</v>
      </c>
      <c r="H207" s="11" t="n">
        <v>136.87</v>
      </c>
      <c r="I207" s="12" t="n">
        <v>1.521</v>
      </c>
      <c r="J207" s="11" t="n">
        <v>91.25</v>
      </c>
      <c r="K207" s="11" t="n">
        <v>253.52</v>
      </c>
    </row>
    <row r="208">
      <c r="A208" s="10" t="n">
        <v>8</v>
      </c>
      <c r="B208" s="10" t="n">
        <v>2013</v>
      </c>
      <c r="C208" s="11" t="n">
        <v>95</v>
      </c>
      <c r="D208" s="11" t="n">
        <v>33.33</v>
      </c>
      <c r="F208" s="11" t="n">
        <v>10</v>
      </c>
      <c r="G208" s="10" t="n">
        <v>10</v>
      </c>
      <c r="H208" s="11" t="n">
        <v>122.42</v>
      </c>
      <c r="I208" s="12" t="n">
        <v>1.36</v>
      </c>
      <c r="J208" s="11" t="n">
        <v>81.62</v>
      </c>
      <c r="K208" s="11" t="n">
        <v>226.75</v>
      </c>
    </row>
    <row r="209">
      <c r="A209" s="10" t="n">
        <v>9</v>
      </c>
      <c r="B209" s="10" t="n">
        <v>2021</v>
      </c>
      <c r="C209" s="11" t="n">
        <v>94.90000000000001</v>
      </c>
      <c r="D209" s="11" t="n">
        <v>37.5</v>
      </c>
      <c r="F209" s="11" t="n">
        <v>20</v>
      </c>
      <c r="G209" s="10" t="n">
        <v>5</v>
      </c>
      <c r="H209" s="11" t="n">
        <v>106.81</v>
      </c>
      <c r="I209" s="12" t="n">
        <v>1.187</v>
      </c>
      <c r="J209" s="11" t="n">
        <v>71.20999999999999</v>
      </c>
      <c r="K209" s="11" t="n">
        <v>197.84</v>
      </c>
    </row>
    <row r="210">
      <c r="A210" s="10" t="n">
        <v>10</v>
      </c>
      <c r="B210" s="10" t="n">
        <v>2017</v>
      </c>
      <c r="C210" s="11" t="n">
        <v>92.59999999999999</v>
      </c>
      <c r="D210" s="11" t="n">
        <v>41.67</v>
      </c>
      <c r="F210" s="11" t="n">
        <v>25</v>
      </c>
      <c r="G210" s="10" t="n">
        <v>4</v>
      </c>
      <c r="H210" s="11" t="n">
        <v>101.41</v>
      </c>
      <c r="I210" s="12" t="n">
        <v>1.127</v>
      </c>
      <c r="J210" s="11" t="n">
        <v>67.59999999999999</v>
      </c>
      <c r="K210" s="11" t="n">
        <v>187.82</v>
      </c>
    </row>
    <row r="211">
      <c r="A211" s="10" t="n">
        <v>11</v>
      </c>
      <c r="B211" s="10" t="n">
        <v>2008</v>
      </c>
      <c r="C211" s="11" t="n">
        <v>91.3</v>
      </c>
      <c r="D211" s="11" t="n">
        <v>45.83</v>
      </c>
      <c r="F211" s="11" t="n">
        <v>33.3</v>
      </c>
      <c r="G211" s="10" t="n">
        <v>3</v>
      </c>
      <c r="H211" s="11" t="n">
        <v>94.05</v>
      </c>
      <c r="I211" s="12" t="n">
        <v>1.045</v>
      </c>
      <c r="J211" s="11" t="n">
        <v>62.7</v>
      </c>
      <c r="K211" s="11" t="n">
        <v>174.21</v>
      </c>
    </row>
    <row r="212">
      <c r="A212" s="10" t="n">
        <v>12</v>
      </c>
      <c r="B212" s="10" t="n">
        <v>2018</v>
      </c>
      <c r="C212" s="11" t="n">
        <v>84.2</v>
      </c>
      <c r="D212" s="11" t="n">
        <v>50</v>
      </c>
      <c r="F212" s="11" t="n">
        <v>50</v>
      </c>
      <c r="G212" s="10" t="n">
        <v>2</v>
      </c>
      <c r="H212" s="11" t="n">
        <v>82.40000000000001</v>
      </c>
      <c r="I212" s="12" t="n">
        <v>0.916</v>
      </c>
      <c r="J212" s="11" t="n">
        <v>54.93</v>
      </c>
      <c r="K212" s="11" t="n">
        <v>152.63</v>
      </c>
    </row>
    <row r="213">
      <c r="A213" s="10" t="n">
        <v>13</v>
      </c>
      <c r="B213" s="10" t="n">
        <v>2012</v>
      </c>
      <c r="C213" s="11" t="n">
        <v>82.3</v>
      </c>
      <c r="D213" s="11" t="n">
        <v>54.17</v>
      </c>
      <c r="F213" s="11" t="n">
        <v>75</v>
      </c>
      <c r="G213" s="10" t="n">
        <v>1.3</v>
      </c>
      <c r="H213" s="11" t="n">
        <v>67.61</v>
      </c>
      <c r="I213" s="12" t="n">
        <v>0.751</v>
      </c>
      <c r="J213" s="11" t="n">
        <v>45.08</v>
      </c>
      <c r="K213" s="11" t="n">
        <v>125.23</v>
      </c>
    </row>
    <row r="214">
      <c r="A214" s="10" t="n">
        <v>14</v>
      </c>
      <c r="B214" s="10" t="n">
        <v>2009</v>
      </c>
      <c r="C214" s="11" t="n">
        <v>81.3</v>
      </c>
      <c r="D214" s="11" t="n">
        <v>58.33</v>
      </c>
      <c r="F214" s="11" t="n">
        <v>90</v>
      </c>
      <c r="G214" s="10" t="n">
        <v>1.1</v>
      </c>
      <c r="H214" s="11" t="n">
        <v>57.54</v>
      </c>
      <c r="I214" s="12" t="n">
        <v>0.639</v>
      </c>
      <c r="J214" s="11" t="n">
        <v>38.36</v>
      </c>
      <c r="K214" s="11" t="n">
        <v>106.57</v>
      </c>
    </row>
    <row r="215">
      <c r="A215" s="10" t="n">
        <v>15</v>
      </c>
      <c r="B215" s="10" t="n">
        <v>2015</v>
      </c>
      <c r="C215" s="11" t="n">
        <v>79.09999999999999</v>
      </c>
      <c r="D215" s="11" t="n">
        <v>62.5</v>
      </c>
      <c r="F215" s="11" t="n">
        <v>95</v>
      </c>
      <c r="G215" s="10" t="n">
        <v>1.1</v>
      </c>
      <c r="H215" s="11" t="n">
        <v>52.81</v>
      </c>
      <c r="I215" s="12" t="n">
        <v>0.587</v>
      </c>
      <c r="J215" s="11" t="n">
        <v>35.21</v>
      </c>
      <c r="K215" s="11" t="n">
        <v>97.81999999999999</v>
      </c>
    </row>
    <row r="216">
      <c r="A216" s="10" t="n">
        <v>16</v>
      </c>
      <c r="B216" s="10" t="n">
        <v>2023</v>
      </c>
      <c r="C216" s="11" t="n">
        <v>75.40000000000001</v>
      </c>
      <c r="D216" s="11" t="n">
        <v>66.67</v>
      </c>
    </row>
    <row r="217">
      <c r="A217" s="10" t="n">
        <v>17</v>
      </c>
      <c r="B217" s="10" t="n">
        <v>2010</v>
      </c>
      <c r="C217" s="11" t="n">
        <v>74.5</v>
      </c>
      <c r="D217" s="11" t="n">
        <v>70.83</v>
      </c>
    </row>
    <row r="218">
      <c r="A218" s="10" t="n">
        <v>18</v>
      </c>
      <c r="B218" s="10" t="n">
        <v>2016</v>
      </c>
      <c r="C218" s="11" t="n">
        <v>73.5</v>
      </c>
      <c r="D218" s="11" t="n">
        <v>75</v>
      </c>
    </row>
    <row r="219">
      <c r="A219" s="10" t="n">
        <v>19</v>
      </c>
      <c r="B219" s="10" t="n">
        <v>2006</v>
      </c>
      <c r="C219" s="11" t="n">
        <v>71.2</v>
      </c>
      <c r="D219" s="11" t="n">
        <v>79.17</v>
      </c>
    </row>
    <row r="220">
      <c r="A220" s="10" t="n">
        <v>20</v>
      </c>
      <c r="B220" s="10" t="n">
        <v>2007</v>
      </c>
      <c r="C220" s="11" t="n">
        <v>71</v>
      </c>
      <c r="D220" s="11" t="n">
        <v>83.33</v>
      </c>
    </row>
    <row r="221">
      <c r="A221" s="10" t="n">
        <v>21</v>
      </c>
      <c r="B221" s="10" t="n">
        <v>2005</v>
      </c>
      <c r="C221" s="11" t="n">
        <v>69.3</v>
      </c>
      <c r="D221" s="11" t="n">
        <v>87.5</v>
      </c>
    </row>
    <row r="222">
      <c r="A222" s="10" t="n">
        <v>22</v>
      </c>
      <c r="B222" s="10" t="n">
        <v>2003</v>
      </c>
      <c r="C222" s="11" t="n">
        <v>59.8</v>
      </c>
      <c r="D222" s="11" t="n">
        <v>91.67</v>
      </c>
    </row>
    <row r="223">
      <c r="A223" s="10" t="n">
        <v>23</v>
      </c>
      <c r="B223" s="10" t="n">
        <v>2025</v>
      </c>
      <c r="C223" s="11" t="n">
        <v>7.2</v>
      </c>
      <c r="D223" s="11" t="n">
        <v>95.83</v>
      </c>
    </row>
    <row r="226">
      <c r="A226" s="7" t="inlineStr">
        <is>
          <t>PHÂN TÍCH TẦN SUẤT THỜI ĐOẠN 120 PHÚT (X_tb=91.75mm, Cv=0.234, Cs=0.820)</t>
        </is>
      </c>
    </row>
    <row r="227">
      <c r="A227" s="8" t="inlineStr">
        <is>
          <t>Bảng Tần Suất Kinh Nghiệm (Weibull)</t>
        </is>
      </c>
      <c r="F227" s="8" t="inlineStr">
        <is>
          <t>Bảng Tần Suất Lý Luận (Pearson III)</t>
        </is>
      </c>
    </row>
    <row r="228">
      <c r="A228" s="9" t="inlineStr">
        <is>
          <t>Hạng (m)</t>
        </is>
      </c>
      <c r="B228" s="9" t="inlineStr">
        <is>
          <t>Năm</t>
        </is>
      </c>
      <c r="C228" s="9" t="inlineStr">
        <is>
          <t>H (mm)</t>
        </is>
      </c>
      <c r="D228" s="9" t="inlineStr">
        <is>
          <t>P_kinh_nghiệm (%)</t>
        </is>
      </c>
      <c r="F228" s="9" t="inlineStr">
        <is>
          <t>Tần suất P (%)</t>
        </is>
      </c>
      <c r="G228" s="9" t="inlineStr">
        <is>
          <t>Chu kỳ T (năm)</t>
        </is>
      </c>
      <c r="H228" s="9" t="inlineStr">
        <is>
          <t>H_p (mm)</t>
        </is>
      </c>
      <c r="I228" s="9" t="inlineStr">
        <is>
          <t>I (mm/phút)</t>
        </is>
      </c>
      <c r="J228" s="9" t="inlineStr">
        <is>
          <t>I (mm/h)</t>
        </is>
      </c>
      <c r="K228" s="9" t="inlineStr">
        <is>
          <t>q (l/s.ha)</t>
        </is>
      </c>
    </row>
    <row r="229">
      <c r="A229" s="10" t="n">
        <v>1</v>
      </c>
      <c r="B229" s="10" t="n">
        <v>2004</v>
      </c>
      <c r="C229" s="11" t="n">
        <v>141.7</v>
      </c>
      <c r="D229" s="11" t="n">
        <v>4.17</v>
      </c>
      <c r="F229" s="11" t="n">
        <v>0.1</v>
      </c>
      <c r="G229" s="10" t="n">
        <v>1000</v>
      </c>
      <c r="H229" s="11" t="n">
        <v>183.54</v>
      </c>
      <c r="I229" s="12" t="n">
        <v>1.53</v>
      </c>
      <c r="J229" s="11" t="n">
        <v>91.77</v>
      </c>
      <c r="K229" s="11" t="n">
        <v>254.97</v>
      </c>
    </row>
    <row r="230">
      <c r="A230" s="10" t="n">
        <v>2</v>
      </c>
      <c r="B230" s="10" t="n">
        <v>2019</v>
      </c>
      <c r="C230" s="11" t="n">
        <v>137.3</v>
      </c>
      <c r="D230" s="11" t="n">
        <v>8.33</v>
      </c>
      <c r="F230" s="11" t="n">
        <v>0.5</v>
      </c>
      <c r="G230" s="10" t="n">
        <v>200</v>
      </c>
      <c r="H230" s="11" t="n">
        <v>163.29</v>
      </c>
      <c r="I230" s="12" t="n">
        <v>1.361</v>
      </c>
      <c r="J230" s="11" t="n">
        <v>81.64</v>
      </c>
      <c r="K230" s="11" t="n">
        <v>226.84</v>
      </c>
    </row>
    <row r="231">
      <c r="A231" s="10" t="n">
        <v>3</v>
      </c>
      <c r="B231" s="10" t="n">
        <v>2020</v>
      </c>
      <c r="C231" s="11" t="n">
        <v>114.4</v>
      </c>
      <c r="D231" s="11" t="n">
        <v>12.5</v>
      </c>
      <c r="F231" s="11" t="n">
        <v>1</v>
      </c>
      <c r="G231" s="10" t="n">
        <v>100</v>
      </c>
      <c r="H231" s="11" t="n">
        <v>154.14</v>
      </c>
      <c r="I231" s="12" t="n">
        <v>1.285</v>
      </c>
      <c r="J231" s="11" t="n">
        <v>77.06999999999999</v>
      </c>
      <c r="K231" s="11" t="n">
        <v>214.13</v>
      </c>
    </row>
    <row r="232">
      <c r="A232" s="10" t="n">
        <v>4</v>
      </c>
      <c r="B232" s="10" t="n">
        <v>2014</v>
      </c>
      <c r="C232" s="11" t="n">
        <v>114.3</v>
      </c>
      <c r="D232" s="11" t="n">
        <v>16.67</v>
      </c>
      <c r="F232" s="11" t="n">
        <v>2</v>
      </c>
      <c r="G232" s="10" t="n">
        <v>50</v>
      </c>
      <c r="H232" s="11" t="n">
        <v>144.64</v>
      </c>
      <c r="I232" s="12" t="n">
        <v>1.205</v>
      </c>
      <c r="J232" s="11" t="n">
        <v>72.31999999999999</v>
      </c>
      <c r="K232" s="11" t="n">
        <v>200.93</v>
      </c>
    </row>
    <row r="233">
      <c r="A233" s="10" t="n">
        <v>5</v>
      </c>
      <c r="B233" s="10" t="n">
        <v>2013</v>
      </c>
      <c r="C233" s="11" t="n">
        <v>111.6</v>
      </c>
      <c r="D233" s="11" t="n">
        <v>20.83</v>
      </c>
      <c r="F233" s="11" t="n">
        <v>3</v>
      </c>
      <c r="G233" s="10" t="n">
        <v>33.3</v>
      </c>
      <c r="H233" s="11" t="n">
        <v>138.88</v>
      </c>
      <c r="I233" s="12" t="n">
        <v>1.157</v>
      </c>
      <c r="J233" s="11" t="n">
        <v>69.44</v>
      </c>
      <c r="K233" s="11" t="n">
        <v>192.93</v>
      </c>
    </row>
    <row r="234">
      <c r="A234" s="10" t="n">
        <v>6</v>
      </c>
      <c r="B234" s="10" t="n">
        <v>2011</v>
      </c>
      <c r="C234" s="11" t="n">
        <v>105.5</v>
      </c>
      <c r="D234" s="11" t="n">
        <v>25</v>
      </c>
      <c r="F234" s="11" t="n">
        <v>4</v>
      </c>
      <c r="G234" s="10" t="n">
        <v>25</v>
      </c>
      <c r="H234" s="11" t="n">
        <v>134.68</v>
      </c>
      <c r="I234" s="12" t="n">
        <v>1.122</v>
      </c>
      <c r="J234" s="11" t="n">
        <v>67.34</v>
      </c>
      <c r="K234" s="11" t="n">
        <v>187.09</v>
      </c>
    </row>
    <row r="235">
      <c r="A235" s="10" t="n">
        <v>7</v>
      </c>
      <c r="B235" s="10" t="n">
        <v>2024</v>
      </c>
      <c r="C235" s="11" t="n">
        <v>102.5</v>
      </c>
      <c r="D235" s="11" t="n">
        <v>29.17</v>
      </c>
      <c r="F235" s="11" t="n">
        <v>5</v>
      </c>
      <c r="G235" s="10" t="n">
        <v>20</v>
      </c>
      <c r="H235" s="11" t="n">
        <v>131.35</v>
      </c>
      <c r="I235" s="12" t="n">
        <v>1.095</v>
      </c>
      <c r="J235" s="11" t="n">
        <v>65.67</v>
      </c>
      <c r="K235" s="11" t="n">
        <v>182.46</v>
      </c>
    </row>
    <row r="236">
      <c r="A236" s="10" t="n">
        <v>8</v>
      </c>
      <c r="B236" s="10" t="n">
        <v>2022</v>
      </c>
      <c r="C236" s="11" t="n">
        <v>97.90000000000001</v>
      </c>
      <c r="D236" s="11" t="n">
        <v>33.33</v>
      </c>
      <c r="F236" s="11" t="n">
        <v>10</v>
      </c>
      <c r="G236" s="10" t="n">
        <v>10</v>
      </c>
      <c r="H236" s="11" t="n">
        <v>120.48</v>
      </c>
      <c r="I236" s="12" t="n">
        <v>1.004</v>
      </c>
      <c r="J236" s="11" t="n">
        <v>60.24</v>
      </c>
      <c r="K236" s="11" t="n">
        <v>167.36</v>
      </c>
    </row>
    <row r="237">
      <c r="A237" s="10" t="n">
        <v>9</v>
      </c>
      <c r="B237" s="10" t="n">
        <v>2021</v>
      </c>
      <c r="C237" s="11" t="n">
        <v>94.90000000000001</v>
      </c>
      <c r="D237" s="11" t="n">
        <v>37.5</v>
      </c>
      <c r="F237" s="11" t="n">
        <v>20</v>
      </c>
      <c r="G237" s="10" t="n">
        <v>5</v>
      </c>
      <c r="H237" s="11" t="n">
        <v>108.46</v>
      </c>
      <c r="I237" s="12" t="n">
        <v>0.904</v>
      </c>
      <c r="J237" s="11" t="n">
        <v>54.23</v>
      </c>
      <c r="K237" s="11" t="n">
        <v>150.67</v>
      </c>
    </row>
    <row r="238">
      <c r="A238" s="10" t="n">
        <v>10</v>
      </c>
      <c r="B238" s="10" t="n">
        <v>2017</v>
      </c>
      <c r="C238" s="11" t="n">
        <v>94.40000000000001</v>
      </c>
      <c r="D238" s="11" t="n">
        <v>41.67</v>
      </c>
      <c r="F238" s="11" t="n">
        <v>25</v>
      </c>
      <c r="G238" s="10" t="n">
        <v>4</v>
      </c>
      <c r="H238" s="11" t="n">
        <v>104.22</v>
      </c>
      <c r="I238" s="12" t="n">
        <v>0.869</v>
      </c>
      <c r="J238" s="11" t="n">
        <v>52.11</v>
      </c>
      <c r="K238" s="11" t="n">
        <v>144.78</v>
      </c>
    </row>
    <row r="239">
      <c r="A239" s="10" t="n">
        <v>11</v>
      </c>
      <c r="B239" s="10" t="n">
        <v>2008</v>
      </c>
      <c r="C239" s="11" t="n">
        <v>94.2</v>
      </c>
      <c r="D239" s="11" t="n">
        <v>45.83</v>
      </c>
      <c r="F239" s="11" t="n">
        <v>33.3</v>
      </c>
      <c r="G239" s="10" t="n">
        <v>3</v>
      </c>
      <c r="H239" s="11" t="n">
        <v>98.37</v>
      </c>
      <c r="I239" s="12" t="n">
        <v>0.82</v>
      </c>
      <c r="J239" s="11" t="n">
        <v>49.18</v>
      </c>
      <c r="K239" s="11" t="n">
        <v>136.65</v>
      </c>
    </row>
    <row r="240">
      <c r="A240" s="10" t="n">
        <v>12</v>
      </c>
      <c r="B240" s="10" t="n">
        <v>2018</v>
      </c>
      <c r="C240" s="11" t="n">
        <v>84.2</v>
      </c>
      <c r="D240" s="11" t="n">
        <v>50</v>
      </c>
      <c r="F240" s="11" t="n">
        <v>50</v>
      </c>
      <c r="G240" s="10" t="n">
        <v>2</v>
      </c>
      <c r="H240" s="11" t="n">
        <v>88.84999999999999</v>
      </c>
      <c r="I240" s="12" t="n">
        <v>0.74</v>
      </c>
      <c r="J240" s="11" t="n">
        <v>44.42</v>
      </c>
      <c r="K240" s="11" t="n">
        <v>123.43</v>
      </c>
    </row>
    <row r="241">
      <c r="A241" s="10" t="n">
        <v>13</v>
      </c>
      <c r="B241" s="10" t="n">
        <v>2012</v>
      </c>
      <c r="C241" s="11" t="n">
        <v>82.3</v>
      </c>
      <c r="D241" s="11" t="n">
        <v>54.17</v>
      </c>
      <c r="F241" s="11" t="n">
        <v>75</v>
      </c>
      <c r="G241" s="10" t="n">
        <v>1.3</v>
      </c>
      <c r="H241" s="11" t="n">
        <v>76.13</v>
      </c>
      <c r="I241" s="12" t="n">
        <v>0.634</v>
      </c>
      <c r="J241" s="11" t="n">
        <v>38.07</v>
      </c>
      <c r="K241" s="11" t="n">
        <v>105.76</v>
      </c>
    </row>
    <row r="242">
      <c r="A242" s="10" t="n">
        <v>14</v>
      </c>
      <c r="B242" s="10" t="n">
        <v>2015</v>
      </c>
      <c r="C242" s="11" t="n">
        <v>82.3</v>
      </c>
      <c r="D242" s="11" t="n">
        <v>58.33</v>
      </c>
      <c r="F242" s="11" t="n">
        <v>90</v>
      </c>
      <c r="G242" s="10" t="n">
        <v>1.1</v>
      </c>
      <c r="H242" s="11" t="n">
        <v>66.78</v>
      </c>
      <c r="I242" s="12" t="n">
        <v>0.5570000000000001</v>
      </c>
      <c r="J242" s="11" t="n">
        <v>33.39</v>
      </c>
      <c r="K242" s="11" t="n">
        <v>92.77</v>
      </c>
    </row>
    <row r="243">
      <c r="A243" s="10" t="n">
        <v>15</v>
      </c>
      <c r="B243" s="10" t="n">
        <v>2009</v>
      </c>
      <c r="C243" s="11" t="n">
        <v>81.40000000000001</v>
      </c>
      <c r="D243" s="11" t="n">
        <v>62.5</v>
      </c>
      <c r="F243" s="11" t="n">
        <v>95</v>
      </c>
      <c r="G243" s="10" t="n">
        <v>1.1</v>
      </c>
      <c r="H243" s="11" t="n">
        <v>62.07</v>
      </c>
      <c r="I243" s="12" t="n">
        <v>0.517</v>
      </c>
      <c r="J243" s="11" t="n">
        <v>31.03</v>
      </c>
      <c r="K243" s="11" t="n">
        <v>86.22</v>
      </c>
    </row>
    <row r="244">
      <c r="A244" s="10" t="n">
        <v>16</v>
      </c>
      <c r="B244" s="10" t="n">
        <v>2023</v>
      </c>
      <c r="C244" s="11" t="n">
        <v>76.2</v>
      </c>
      <c r="D244" s="11" t="n">
        <v>66.67</v>
      </c>
    </row>
    <row r="245">
      <c r="A245" s="10" t="n">
        <v>17</v>
      </c>
      <c r="B245" s="10" t="n">
        <v>2010</v>
      </c>
      <c r="C245" s="11" t="n">
        <v>74.5</v>
      </c>
      <c r="D245" s="11" t="n">
        <v>70.83</v>
      </c>
    </row>
    <row r="246">
      <c r="A246" s="10" t="n">
        <v>18</v>
      </c>
      <c r="B246" s="10" t="n">
        <v>2016</v>
      </c>
      <c r="C246" s="11" t="n">
        <v>73.8</v>
      </c>
      <c r="D246" s="11" t="n">
        <v>75</v>
      </c>
    </row>
    <row r="247">
      <c r="A247" s="10" t="n">
        <v>19</v>
      </c>
      <c r="B247" s="10" t="n">
        <v>2025</v>
      </c>
      <c r="C247" s="11" t="n">
        <v>73.09999999999999</v>
      </c>
      <c r="D247" s="11" t="n">
        <v>79.17</v>
      </c>
    </row>
    <row r="248">
      <c r="A248" s="10" t="n">
        <v>20</v>
      </c>
      <c r="B248" s="10" t="n">
        <v>2006</v>
      </c>
      <c r="C248" s="11" t="n">
        <v>72</v>
      </c>
      <c r="D248" s="11" t="n">
        <v>83.33</v>
      </c>
    </row>
    <row r="249">
      <c r="A249" s="10" t="n">
        <v>21</v>
      </c>
      <c r="B249" s="10" t="n">
        <v>2007</v>
      </c>
      <c r="C249" s="11" t="n">
        <v>71.5</v>
      </c>
      <c r="D249" s="11" t="n">
        <v>87.5</v>
      </c>
    </row>
    <row r="250">
      <c r="A250" s="10" t="n">
        <v>22</v>
      </c>
      <c r="B250" s="10" t="n">
        <v>2005</v>
      </c>
      <c r="C250" s="11" t="n">
        <v>69.40000000000001</v>
      </c>
      <c r="D250" s="11" t="n">
        <v>91.67</v>
      </c>
    </row>
    <row r="251">
      <c r="A251" s="10" t="n">
        <v>23</v>
      </c>
      <c r="B251" s="10" t="n">
        <v>2003</v>
      </c>
      <c r="C251" s="11" t="n">
        <v>60.9</v>
      </c>
      <c r="D251" s="11" t="n">
        <v>95.83</v>
      </c>
    </row>
    <row r="254">
      <c r="A254" s="7" t="inlineStr">
        <is>
          <t>PHÂN TÍCH TẦN SUẤT THỜI ĐOẠN 180 PHÚT (X_tb=97.88mm, Cv=0.288, Cs=1.009)</t>
        </is>
      </c>
    </row>
    <row r="255">
      <c r="A255" s="8" t="inlineStr">
        <is>
          <t>Bảng Tần Suất Kinh Nghiệm (Weibull)</t>
        </is>
      </c>
      <c r="F255" s="8" t="inlineStr">
        <is>
          <t>Bảng Tần Suất Lý Luận (Pearson III)</t>
        </is>
      </c>
    </row>
    <row r="256">
      <c r="A256" s="9" t="inlineStr">
        <is>
          <t>Hạng (m)</t>
        </is>
      </c>
      <c r="B256" s="9" t="inlineStr">
        <is>
          <t>Năm</t>
        </is>
      </c>
      <c r="C256" s="9" t="inlineStr">
        <is>
          <t>H (mm)</t>
        </is>
      </c>
      <c r="D256" s="9" t="inlineStr">
        <is>
          <t>P_kinh_nghiệm (%)</t>
        </is>
      </c>
      <c r="F256" s="9" t="inlineStr">
        <is>
          <t>Tần suất P (%)</t>
        </is>
      </c>
      <c r="G256" s="9" t="inlineStr">
        <is>
          <t>Chu kỳ T (năm)</t>
        </is>
      </c>
      <c r="H256" s="9" t="inlineStr">
        <is>
          <t>H_p (mm)</t>
        </is>
      </c>
      <c r="I256" s="9" t="inlineStr">
        <is>
          <t>I (mm/phút)</t>
        </is>
      </c>
      <c r="J256" s="9" t="inlineStr">
        <is>
          <t>I (mm/h)</t>
        </is>
      </c>
      <c r="K256" s="9" t="inlineStr">
        <is>
          <t>q (l/s.ha)</t>
        </is>
      </c>
    </row>
    <row r="257">
      <c r="A257" s="10" t="n">
        <v>1</v>
      </c>
      <c r="B257" s="10" t="n">
        <v>2019</v>
      </c>
      <c r="C257" s="11" t="n">
        <v>178.5</v>
      </c>
      <c r="D257" s="11" t="n">
        <v>4.17</v>
      </c>
      <c r="F257" s="11" t="n">
        <v>0.1</v>
      </c>
      <c r="G257" s="10" t="n">
        <v>1000</v>
      </c>
      <c r="H257" s="11" t="n">
        <v>226.02</v>
      </c>
      <c r="I257" s="12" t="n">
        <v>1.256</v>
      </c>
      <c r="J257" s="11" t="n">
        <v>75.34</v>
      </c>
      <c r="K257" s="11" t="n">
        <v>209.32</v>
      </c>
    </row>
    <row r="258">
      <c r="A258" s="10" t="n">
        <v>2</v>
      </c>
      <c r="B258" s="10" t="n">
        <v>2013</v>
      </c>
      <c r="C258" s="11" t="n">
        <v>143.8</v>
      </c>
      <c r="D258" s="11" t="n">
        <v>8.33</v>
      </c>
      <c r="F258" s="11" t="n">
        <v>0.5</v>
      </c>
      <c r="G258" s="10" t="n">
        <v>200</v>
      </c>
      <c r="H258" s="11" t="n">
        <v>196.48</v>
      </c>
      <c r="I258" s="12" t="n">
        <v>1.092</v>
      </c>
      <c r="J258" s="11" t="n">
        <v>65.48999999999999</v>
      </c>
      <c r="K258" s="11" t="n">
        <v>181.97</v>
      </c>
    </row>
    <row r="259">
      <c r="A259" s="10" t="n">
        <v>3</v>
      </c>
      <c r="B259" s="10" t="n">
        <v>2004</v>
      </c>
      <c r="C259" s="11" t="n">
        <v>142.6</v>
      </c>
      <c r="D259" s="11" t="n">
        <v>12.5</v>
      </c>
      <c r="F259" s="11" t="n">
        <v>1</v>
      </c>
      <c r="G259" s="10" t="n">
        <v>100</v>
      </c>
      <c r="H259" s="11" t="n">
        <v>183.28</v>
      </c>
      <c r="I259" s="12" t="n">
        <v>1.018</v>
      </c>
      <c r="J259" s="11" t="n">
        <v>61.09</v>
      </c>
      <c r="K259" s="11" t="n">
        <v>169.74</v>
      </c>
    </row>
    <row r="260">
      <c r="A260" s="10" t="n">
        <v>4</v>
      </c>
      <c r="B260" s="10" t="n">
        <v>2020</v>
      </c>
      <c r="C260" s="11" t="n">
        <v>120.4</v>
      </c>
      <c r="D260" s="11" t="n">
        <v>16.67</v>
      </c>
      <c r="F260" s="11" t="n">
        <v>2</v>
      </c>
      <c r="G260" s="10" t="n">
        <v>50</v>
      </c>
      <c r="H260" s="11" t="n">
        <v>169.68</v>
      </c>
      <c r="I260" s="12" t="n">
        <v>0.9429999999999999</v>
      </c>
      <c r="J260" s="11" t="n">
        <v>56.56</v>
      </c>
      <c r="K260" s="11" t="n">
        <v>157.14</v>
      </c>
    </row>
    <row r="261">
      <c r="A261" s="10" t="n">
        <v>5</v>
      </c>
      <c r="B261" s="10" t="n">
        <v>2014</v>
      </c>
      <c r="C261" s="11" t="n">
        <v>114.8</v>
      </c>
      <c r="D261" s="11" t="n">
        <v>20.83</v>
      </c>
      <c r="F261" s="11" t="n">
        <v>3</v>
      </c>
      <c r="G261" s="10" t="n">
        <v>33.3</v>
      </c>
      <c r="H261" s="11" t="n">
        <v>161.49</v>
      </c>
      <c r="I261" s="12" t="n">
        <v>0.897</v>
      </c>
      <c r="J261" s="11" t="n">
        <v>53.83</v>
      </c>
      <c r="K261" s="11" t="n">
        <v>149.56</v>
      </c>
    </row>
    <row r="262">
      <c r="A262" s="10" t="n">
        <v>6</v>
      </c>
      <c r="B262" s="10" t="n">
        <v>2011</v>
      </c>
      <c r="C262" s="11" t="n">
        <v>113</v>
      </c>
      <c r="D262" s="11" t="n">
        <v>25</v>
      </c>
      <c r="F262" s="11" t="n">
        <v>4</v>
      </c>
      <c r="G262" s="10" t="n">
        <v>25</v>
      </c>
      <c r="H262" s="11" t="n">
        <v>155.55</v>
      </c>
      <c r="I262" s="12" t="n">
        <v>0.864</v>
      </c>
      <c r="J262" s="11" t="n">
        <v>51.85</v>
      </c>
      <c r="K262" s="11" t="n">
        <v>144.05</v>
      </c>
    </row>
    <row r="263">
      <c r="A263" s="10" t="n">
        <v>7</v>
      </c>
      <c r="B263" s="10" t="n">
        <v>2021</v>
      </c>
      <c r="C263" s="11" t="n">
        <v>112.2</v>
      </c>
      <c r="D263" s="11" t="n">
        <v>29.17</v>
      </c>
      <c r="F263" s="11" t="n">
        <v>5</v>
      </c>
      <c r="G263" s="10" t="n">
        <v>20</v>
      </c>
      <c r="H263" s="11" t="n">
        <v>150.85</v>
      </c>
      <c r="I263" s="12" t="n">
        <v>0.838</v>
      </c>
      <c r="J263" s="11" t="n">
        <v>50.28</v>
      </c>
      <c r="K263" s="11" t="n">
        <v>139.71</v>
      </c>
    </row>
    <row r="264">
      <c r="A264" s="10" t="n">
        <v>8</v>
      </c>
      <c r="B264" s="10" t="n">
        <v>2024</v>
      </c>
      <c r="C264" s="11" t="n">
        <v>102.5</v>
      </c>
      <c r="D264" s="11" t="n">
        <v>33.33</v>
      </c>
      <c r="F264" s="11" t="n">
        <v>10</v>
      </c>
      <c r="G264" s="10" t="n">
        <v>10</v>
      </c>
      <c r="H264" s="11" t="n">
        <v>135.69</v>
      </c>
      <c r="I264" s="12" t="n">
        <v>0.754</v>
      </c>
      <c r="J264" s="11" t="n">
        <v>45.23</v>
      </c>
      <c r="K264" s="11" t="n">
        <v>125.66</v>
      </c>
    </row>
    <row r="265">
      <c r="A265" s="10" t="n">
        <v>9</v>
      </c>
      <c r="B265" s="10" t="n">
        <v>2022</v>
      </c>
      <c r="C265" s="11" t="n">
        <v>98.40000000000001</v>
      </c>
      <c r="D265" s="11" t="n">
        <v>37.5</v>
      </c>
      <c r="F265" s="11" t="n">
        <v>20</v>
      </c>
      <c r="G265" s="10" t="n">
        <v>5</v>
      </c>
      <c r="H265" s="11" t="n">
        <v>119.21</v>
      </c>
      <c r="I265" s="12" t="n">
        <v>0.662</v>
      </c>
      <c r="J265" s="11" t="n">
        <v>39.74</v>
      </c>
      <c r="K265" s="11" t="n">
        <v>110.41</v>
      </c>
    </row>
    <row r="266">
      <c r="A266" s="10" t="n">
        <v>10</v>
      </c>
      <c r="B266" s="10" t="n">
        <v>2008</v>
      </c>
      <c r="C266" s="11" t="n">
        <v>97.09999999999999</v>
      </c>
      <c r="D266" s="11" t="n">
        <v>41.67</v>
      </c>
      <c r="F266" s="11" t="n">
        <v>25</v>
      </c>
      <c r="G266" s="10" t="n">
        <v>4</v>
      </c>
      <c r="H266" s="11" t="n">
        <v>113.49</v>
      </c>
      <c r="I266" s="12" t="n">
        <v>0.63</v>
      </c>
      <c r="J266" s="11" t="n">
        <v>37.83</v>
      </c>
      <c r="K266" s="11" t="n">
        <v>105.1</v>
      </c>
    </row>
    <row r="267">
      <c r="A267" s="10" t="n">
        <v>11</v>
      </c>
      <c r="B267" s="10" t="n">
        <v>2017</v>
      </c>
      <c r="C267" s="11" t="n">
        <v>94.90000000000001</v>
      </c>
      <c r="D267" s="11" t="n">
        <v>45.83</v>
      </c>
      <c r="F267" s="11" t="n">
        <v>33.3</v>
      </c>
      <c r="G267" s="10" t="n">
        <v>3</v>
      </c>
      <c r="H267" s="11" t="n">
        <v>105.67</v>
      </c>
      <c r="I267" s="12" t="n">
        <v>0.587</v>
      </c>
      <c r="J267" s="11" t="n">
        <v>35.22</v>
      </c>
      <c r="K267" s="11" t="n">
        <v>97.86</v>
      </c>
    </row>
    <row r="268">
      <c r="A268" s="10" t="n">
        <v>12</v>
      </c>
      <c r="B268" s="10" t="n">
        <v>2015</v>
      </c>
      <c r="C268" s="11" t="n">
        <v>92.3</v>
      </c>
      <c r="D268" s="11" t="n">
        <v>50</v>
      </c>
      <c r="F268" s="11" t="n">
        <v>50</v>
      </c>
      <c r="G268" s="10" t="n">
        <v>2</v>
      </c>
      <c r="H268" s="11" t="n">
        <v>93.22</v>
      </c>
      <c r="I268" s="12" t="n">
        <v>0.518</v>
      </c>
      <c r="J268" s="11" t="n">
        <v>31.07</v>
      </c>
      <c r="K268" s="11" t="n">
        <v>86.33</v>
      </c>
    </row>
    <row r="269">
      <c r="A269" s="10" t="n">
        <v>13</v>
      </c>
      <c r="B269" s="10" t="n">
        <v>2023</v>
      </c>
      <c r="C269" s="11" t="n">
        <v>86.59999999999999</v>
      </c>
      <c r="D269" s="11" t="n">
        <v>54.17</v>
      </c>
      <c r="F269" s="11" t="n">
        <v>75</v>
      </c>
      <c r="G269" s="10" t="n">
        <v>1.3</v>
      </c>
      <c r="H269" s="11" t="n">
        <v>77.22</v>
      </c>
      <c r="I269" s="12" t="n">
        <v>0.429</v>
      </c>
      <c r="J269" s="11" t="n">
        <v>25.74</v>
      </c>
      <c r="K269" s="11" t="n">
        <v>71.51000000000001</v>
      </c>
    </row>
    <row r="270">
      <c r="A270" s="10" t="n">
        <v>14</v>
      </c>
      <c r="B270" s="10" t="n">
        <v>2012</v>
      </c>
      <c r="C270" s="11" t="n">
        <v>85.2</v>
      </c>
      <c r="D270" s="11" t="n">
        <v>58.33</v>
      </c>
      <c r="F270" s="11" t="n">
        <v>90</v>
      </c>
      <c r="G270" s="10" t="n">
        <v>1.1</v>
      </c>
      <c r="H270" s="11" t="n">
        <v>66.12</v>
      </c>
      <c r="I270" s="12" t="n">
        <v>0.367</v>
      </c>
      <c r="J270" s="11" t="n">
        <v>22.04</v>
      </c>
      <c r="K270" s="11" t="n">
        <v>61.24</v>
      </c>
    </row>
    <row r="271">
      <c r="A271" s="10" t="n">
        <v>15</v>
      </c>
      <c r="B271" s="10" t="n">
        <v>2018</v>
      </c>
      <c r="C271" s="11" t="n">
        <v>84.2</v>
      </c>
      <c r="D271" s="11" t="n">
        <v>62.5</v>
      </c>
      <c r="F271" s="11" t="n">
        <v>95</v>
      </c>
      <c r="G271" s="10" t="n">
        <v>1.1</v>
      </c>
      <c r="H271" s="11" t="n">
        <v>60.83</v>
      </c>
      <c r="I271" s="12" t="n">
        <v>0.338</v>
      </c>
      <c r="J271" s="11" t="n">
        <v>20.28</v>
      </c>
      <c r="K271" s="11" t="n">
        <v>56.33</v>
      </c>
    </row>
    <row r="272">
      <c r="A272" s="10" t="n">
        <v>16</v>
      </c>
      <c r="B272" s="10" t="n">
        <v>2009</v>
      </c>
      <c r="C272" s="11" t="n">
        <v>81.40000000000001</v>
      </c>
      <c r="D272" s="11" t="n">
        <v>66.67</v>
      </c>
    </row>
    <row r="273">
      <c r="A273" s="10" t="n">
        <v>17</v>
      </c>
      <c r="B273" s="10" t="n">
        <v>2016</v>
      </c>
      <c r="C273" s="11" t="n">
        <v>77.09999999999999</v>
      </c>
      <c r="D273" s="11" t="n">
        <v>70.83</v>
      </c>
    </row>
    <row r="274">
      <c r="A274" s="10" t="n">
        <v>18</v>
      </c>
      <c r="B274" s="10" t="n">
        <v>2025</v>
      </c>
      <c r="C274" s="11" t="n">
        <v>75.5</v>
      </c>
      <c r="D274" s="11" t="n">
        <v>75</v>
      </c>
    </row>
    <row r="275">
      <c r="A275" s="10" t="n">
        <v>19</v>
      </c>
      <c r="B275" s="10" t="n">
        <v>2010</v>
      </c>
      <c r="C275" s="11" t="n">
        <v>74.5</v>
      </c>
      <c r="D275" s="11" t="n">
        <v>79.17</v>
      </c>
    </row>
    <row r="276">
      <c r="A276" s="10" t="n">
        <v>20</v>
      </c>
      <c r="B276" s="10" t="n">
        <v>2006</v>
      </c>
      <c r="C276" s="11" t="n">
        <v>72</v>
      </c>
      <c r="D276" s="11" t="n">
        <v>83.33</v>
      </c>
    </row>
    <row r="277">
      <c r="A277" s="10" t="n">
        <v>21</v>
      </c>
      <c r="B277" s="10" t="n">
        <v>2007</v>
      </c>
      <c r="C277" s="11" t="n">
        <v>71.59999999999999</v>
      </c>
      <c r="D277" s="11" t="n">
        <v>87.5</v>
      </c>
    </row>
    <row r="278">
      <c r="A278" s="10" t="n">
        <v>22</v>
      </c>
      <c r="B278" s="10" t="n">
        <v>2005</v>
      </c>
      <c r="C278" s="11" t="n">
        <v>69.59999999999999</v>
      </c>
      <c r="D278" s="11" t="n">
        <v>91.67</v>
      </c>
    </row>
    <row r="279">
      <c r="A279" s="10" t="n">
        <v>23</v>
      </c>
      <c r="B279" s="10" t="n">
        <v>2003</v>
      </c>
      <c r="C279" s="11" t="n">
        <v>63</v>
      </c>
      <c r="D279" s="11" t="n">
        <v>95.83</v>
      </c>
    </row>
    <row r="282">
      <c r="A282" s="7" t="inlineStr">
        <is>
          <t>PHÂN TÍCH TẦN SUẤT THỜI ĐOẠN 360 PHÚT (X_tb=103.34mm, Cv=0.293, Cs=1.025)</t>
        </is>
      </c>
    </row>
    <row r="283">
      <c r="A283" s="8" t="inlineStr">
        <is>
          <t>Bảng Tần Suất Kinh Nghiệm (Weibull)</t>
        </is>
      </c>
      <c r="F283" s="8" t="inlineStr">
        <is>
          <t>Bảng Tần Suất Lý Luận (Pearson III)</t>
        </is>
      </c>
    </row>
    <row r="284">
      <c r="A284" s="9" t="inlineStr">
        <is>
          <t>Hạng (m)</t>
        </is>
      </c>
      <c r="B284" s="9" t="inlineStr">
        <is>
          <t>Năm</t>
        </is>
      </c>
      <c r="C284" s="9" t="inlineStr">
        <is>
          <t>H (mm)</t>
        </is>
      </c>
      <c r="D284" s="9" t="inlineStr">
        <is>
          <t>P_kinh_nghiệm (%)</t>
        </is>
      </c>
      <c r="F284" s="9" t="inlineStr">
        <is>
          <t>Tần suất P (%)</t>
        </is>
      </c>
      <c r="G284" s="9" t="inlineStr">
        <is>
          <t>Chu kỳ T (năm)</t>
        </is>
      </c>
      <c r="H284" s="9" t="inlineStr">
        <is>
          <t>H_p (mm)</t>
        </is>
      </c>
      <c r="I284" s="9" t="inlineStr">
        <is>
          <t>I (mm/phút)</t>
        </is>
      </c>
      <c r="J284" s="9" t="inlineStr">
        <is>
          <t>I (mm/h)</t>
        </is>
      </c>
      <c r="K284" s="9" t="inlineStr">
        <is>
          <t>q (l/s.ha)</t>
        </is>
      </c>
    </row>
    <row r="285">
      <c r="A285" s="10" t="n">
        <v>1</v>
      </c>
      <c r="B285" s="10" t="n">
        <v>2019</v>
      </c>
      <c r="C285" s="11" t="n">
        <v>186</v>
      </c>
      <c r="D285" s="11" t="n">
        <v>4.17</v>
      </c>
      <c r="F285" s="11" t="n">
        <v>0.1</v>
      </c>
      <c r="G285" s="10" t="n">
        <v>1000</v>
      </c>
      <c r="H285" s="11" t="n">
        <v>241.49</v>
      </c>
      <c r="I285" s="12" t="n">
        <v>0.671</v>
      </c>
      <c r="J285" s="11" t="n">
        <v>40.25</v>
      </c>
      <c r="K285" s="11" t="n">
        <v>111.83</v>
      </c>
    </row>
    <row r="286">
      <c r="A286" s="10" t="n">
        <v>2</v>
      </c>
      <c r="B286" s="10" t="n">
        <v>2013</v>
      </c>
      <c r="C286" s="11" t="n">
        <v>149.2</v>
      </c>
      <c r="D286" s="11" t="n">
        <v>8.33</v>
      </c>
      <c r="F286" s="11" t="n">
        <v>0.5</v>
      </c>
      <c r="G286" s="10" t="n">
        <v>200</v>
      </c>
      <c r="H286" s="11" t="n">
        <v>209.54</v>
      </c>
      <c r="I286" s="12" t="n">
        <v>0.582</v>
      </c>
      <c r="J286" s="11" t="n">
        <v>34.92</v>
      </c>
      <c r="K286" s="11" t="n">
        <v>97.03</v>
      </c>
    </row>
    <row r="287">
      <c r="A287" s="10" t="n">
        <v>3</v>
      </c>
      <c r="B287" s="10" t="n">
        <v>2004</v>
      </c>
      <c r="C287" s="11" t="n">
        <v>142.8</v>
      </c>
      <c r="D287" s="11" t="n">
        <v>12.5</v>
      </c>
      <c r="F287" s="11" t="n">
        <v>1</v>
      </c>
      <c r="G287" s="10" t="n">
        <v>100</v>
      </c>
      <c r="H287" s="11" t="n">
        <v>195.27</v>
      </c>
      <c r="I287" s="12" t="n">
        <v>0.542</v>
      </c>
      <c r="J287" s="11" t="n">
        <v>32.55</v>
      </c>
      <c r="K287" s="11" t="n">
        <v>90.42</v>
      </c>
    </row>
    <row r="288">
      <c r="A288" s="10" t="n">
        <v>4</v>
      </c>
      <c r="B288" s="10" t="n">
        <v>2020</v>
      </c>
      <c r="C288" s="11" t="n">
        <v>140.1</v>
      </c>
      <c r="D288" s="11" t="n">
        <v>16.67</v>
      </c>
      <c r="F288" s="11" t="n">
        <v>2</v>
      </c>
      <c r="G288" s="10" t="n">
        <v>50</v>
      </c>
      <c r="H288" s="11" t="n">
        <v>180.57</v>
      </c>
      <c r="I288" s="12" t="n">
        <v>0.502</v>
      </c>
      <c r="J288" s="11" t="n">
        <v>30.1</v>
      </c>
      <c r="K288" s="11" t="n">
        <v>83.62</v>
      </c>
    </row>
    <row r="289">
      <c r="A289" s="10" t="n">
        <v>5</v>
      </c>
      <c r="B289" s="10" t="n">
        <v>2021</v>
      </c>
      <c r="C289" s="11" t="n">
        <v>131.9</v>
      </c>
      <c r="D289" s="11" t="n">
        <v>20.83</v>
      </c>
      <c r="F289" s="11" t="n">
        <v>3</v>
      </c>
      <c r="G289" s="10" t="n">
        <v>33.3</v>
      </c>
      <c r="H289" s="11" t="n">
        <v>171.73</v>
      </c>
      <c r="I289" s="12" t="n">
        <v>0.477</v>
      </c>
      <c r="J289" s="11" t="n">
        <v>28.62</v>
      </c>
      <c r="K289" s="11" t="n">
        <v>79.52</v>
      </c>
    </row>
    <row r="290">
      <c r="A290" s="10" t="n">
        <v>6</v>
      </c>
      <c r="B290" s="10" t="n">
        <v>2023</v>
      </c>
      <c r="C290" s="11" t="n">
        <v>115.9</v>
      </c>
      <c r="D290" s="11" t="n">
        <v>25</v>
      </c>
      <c r="F290" s="11" t="n">
        <v>4</v>
      </c>
      <c r="G290" s="10" t="n">
        <v>25</v>
      </c>
      <c r="H290" s="11" t="n">
        <v>165.32</v>
      </c>
      <c r="I290" s="12" t="n">
        <v>0.459</v>
      </c>
      <c r="J290" s="11" t="n">
        <v>27.55</v>
      </c>
      <c r="K290" s="11" t="n">
        <v>76.55</v>
      </c>
    </row>
    <row r="291">
      <c r="A291" s="10" t="n">
        <v>7</v>
      </c>
      <c r="B291" s="10" t="n">
        <v>2011</v>
      </c>
      <c r="C291" s="11" t="n">
        <v>115.7</v>
      </c>
      <c r="D291" s="11" t="n">
        <v>29.17</v>
      </c>
      <c r="F291" s="11" t="n">
        <v>5</v>
      </c>
      <c r="G291" s="10" t="n">
        <v>20</v>
      </c>
      <c r="H291" s="11" t="n">
        <v>160.26</v>
      </c>
      <c r="I291" s="12" t="n">
        <v>0.445</v>
      </c>
      <c r="J291" s="11" t="n">
        <v>26.71</v>
      </c>
      <c r="K291" s="11" t="n">
        <v>74.20999999999999</v>
      </c>
    </row>
    <row r="292">
      <c r="A292" s="10" t="n">
        <v>8</v>
      </c>
      <c r="B292" s="10" t="n">
        <v>2014</v>
      </c>
      <c r="C292" s="11" t="n">
        <v>115.1</v>
      </c>
      <c r="D292" s="11" t="n">
        <v>33.33</v>
      </c>
      <c r="F292" s="11" t="n">
        <v>10</v>
      </c>
      <c r="G292" s="10" t="n">
        <v>10</v>
      </c>
      <c r="H292" s="11" t="n">
        <v>143.9</v>
      </c>
      <c r="I292" s="12" t="n">
        <v>0.4</v>
      </c>
      <c r="J292" s="11" t="n">
        <v>23.98</v>
      </c>
      <c r="K292" s="11" t="n">
        <v>66.64</v>
      </c>
    </row>
    <row r="293">
      <c r="A293" s="10" t="n">
        <v>9</v>
      </c>
      <c r="B293" s="10" t="n">
        <v>2024</v>
      </c>
      <c r="C293" s="11" t="n">
        <v>102.5</v>
      </c>
      <c r="D293" s="11" t="n">
        <v>37.5</v>
      </c>
      <c r="F293" s="11" t="n">
        <v>20</v>
      </c>
      <c r="G293" s="10" t="n">
        <v>5</v>
      </c>
      <c r="H293" s="11" t="n">
        <v>126.17</v>
      </c>
      <c r="I293" s="12" t="n">
        <v>0.35</v>
      </c>
      <c r="J293" s="11" t="n">
        <v>21.03</v>
      </c>
      <c r="K293" s="11" t="n">
        <v>58.43</v>
      </c>
    </row>
    <row r="294">
      <c r="A294" s="10" t="n">
        <v>10</v>
      </c>
      <c r="B294" s="10" t="n">
        <v>2017</v>
      </c>
      <c r="C294" s="11" t="n">
        <v>98.7</v>
      </c>
      <c r="D294" s="11" t="n">
        <v>41.67</v>
      </c>
      <c r="F294" s="11" t="n">
        <v>25</v>
      </c>
      <c r="G294" s="10" t="n">
        <v>4</v>
      </c>
      <c r="H294" s="11" t="n">
        <v>120.02</v>
      </c>
      <c r="I294" s="12" t="n">
        <v>0.333</v>
      </c>
      <c r="J294" s="11" t="n">
        <v>20</v>
      </c>
      <c r="K294" s="11" t="n">
        <v>55.57</v>
      </c>
    </row>
    <row r="295">
      <c r="A295" s="10" t="n">
        <v>11</v>
      </c>
      <c r="B295" s="10" t="n">
        <v>2022</v>
      </c>
      <c r="C295" s="11" t="n">
        <v>98.59999999999999</v>
      </c>
      <c r="D295" s="11" t="n">
        <v>45.83</v>
      </c>
      <c r="F295" s="11" t="n">
        <v>33.3</v>
      </c>
      <c r="G295" s="10" t="n">
        <v>3</v>
      </c>
      <c r="H295" s="11" t="n">
        <v>111.62</v>
      </c>
      <c r="I295" s="12" t="n">
        <v>0.31</v>
      </c>
      <c r="J295" s="11" t="n">
        <v>18.6</v>
      </c>
      <c r="K295" s="11" t="n">
        <v>51.69</v>
      </c>
    </row>
    <row r="296">
      <c r="A296" s="10" t="n">
        <v>12</v>
      </c>
      <c r="B296" s="10" t="n">
        <v>2008</v>
      </c>
      <c r="C296" s="11" t="n">
        <v>98</v>
      </c>
      <c r="D296" s="11" t="n">
        <v>50</v>
      </c>
      <c r="F296" s="11" t="n">
        <v>50</v>
      </c>
      <c r="G296" s="10" t="n">
        <v>2</v>
      </c>
      <c r="H296" s="11" t="n">
        <v>98.26000000000001</v>
      </c>
      <c r="I296" s="12" t="n">
        <v>0.273</v>
      </c>
      <c r="J296" s="11" t="n">
        <v>16.38</v>
      </c>
      <c r="K296" s="11" t="n">
        <v>45.5</v>
      </c>
    </row>
    <row r="297">
      <c r="A297" s="10" t="n">
        <v>13</v>
      </c>
      <c r="B297" s="10" t="n">
        <v>2015</v>
      </c>
      <c r="C297" s="11" t="n">
        <v>96.59999999999999</v>
      </c>
      <c r="D297" s="11" t="n">
        <v>54.17</v>
      </c>
      <c r="F297" s="11" t="n">
        <v>75</v>
      </c>
      <c r="G297" s="10" t="n">
        <v>1.3</v>
      </c>
      <c r="H297" s="11" t="n">
        <v>81.17</v>
      </c>
      <c r="I297" s="12" t="n">
        <v>0.225</v>
      </c>
      <c r="J297" s="11" t="n">
        <v>13.53</v>
      </c>
      <c r="K297" s="11" t="n">
        <v>37.59</v>
      </c>
    </row>
    <row r="298">
      <c r="A298" s="10" t="n">
        <v>14</v>
      </c>
      <c r="B298" s="10" t="n">
        <v>2025</v>
      </c>
      <c r="C298" s="11" t="n">
        <v>96.2</v>
      </c>
      <c r="D298" s="11" t="n">
        <v>58.33</v>
      </c>
      <c r="F298" s="11" t="n">
        <v>90</v>
      </c>
      <c r="G298" s="10" t="n">
        <v>1.1</v>
      </c>
      <c r="H298" s="11" t="n">
        <v>69.38</v>
      </c>
      <c r="I298" s="12" t="n">
        <v>0.193</v>
      </c>
      <c r="J298" s="11" t="n">
        <v>11.56</v>
      </c>
      <c r="K298" s="11" t="n">
        <v>32.13</v>
      </c>
    </row>
    <row r="299">
      <c r="A299" s="10" t="n">
        <v>15</v>
      </c>
      <c r="B299" s="10" t="n">
        <v>2012</v>
      </c>
      <c r="C299" s="11" t="n">
        <v>87</v>
      </c>
      <c r="D299" s="11" t="n">
        <v>62.5</v>
      </c>
      <c r="F299" s="11" t="n">
        <v>95</v>
      </c>
      <c r="G299" s="10" t="n">
        <v>1.1</v>
      </c>
      <c r="H299" s="11" t="n">
        <v>63.78</v>
      </c>
      <c r="I299" s="12" t="n">
        <v>0.177</v>
      </c>
      <c r="J299" s="11" t="n">
        <v>10.63</v>
      </c>
      <c r="K299" s="11" t="n">
        <v>29.53</v>
      </c>
    </row>
    <row r="300">
      <c r="A300" s="10" t="n">
        <v>16</v>
      </c>
      <c r="B300" s="10" t="n">
        <v>2018</v>
      </c>
      <c r="C300" s="11" t="n">
        <v>85.09999999999999</v>
      </c>
      <c r="D300" s="11" t="n">
        <v>66.67</v>
      </c>
    </row>
    <row r="301">
      <c r="A301" s="10" t="n">
        <v>17</v>
      </c>
      <c r="B301" s="10" t="n">
        <v>2009</v>
      </c>
      <c r="C301" s="11" t="n">
        <v>81.40000000000001</v>
      </c>
      <c r="D301" s="11" t="n">
        <v>70.83</v>
      </c>
    </row>
    <row r="302">
      <c r="A302" s="10" t="n">
        <v>18</v>
      </c>
      <c r="B302" s="10" t="n">
        <v>2016</v>
      </c>
      <c r="C302" s="11" t="n">
        <v>77.90000000000001</v>
      </c>
      <c r="D302" s="11" t="n">
        <v>75</v>
      </c>
    </row>
    <row r="303">
      <c r="A303" s="10" t="n">
        <v>19</v>
      </c>
      <c r="B303" s="10" t="n">
        <v>2005</v>
      </c>
      <c r="C303" s="11" t="n">
        <v>76.09999999999999</v>
      </c>
      <c r="D303" s="11" t="n">
        <v>79.17</v>
      </c>
    </row>
    <row r="304">
      <c r="A304" s="10" t="n">
        <v>20</v>
      </c>
      <c r="B304" s="10" t="n">
        <v>2010</v>
      </c>
      <c r="C304" s="11" t="n">
        <v>75.3</v>
      </c>
      <c r="D304" s="11" t="n">
        <v>83.33</v>
      </c>
    </row>
    <row r="305">
      <c r="A305" s="10" t="n">
        <v>21</v>
      </c>
      <c r="B305" s="10" t="n">
        <v>2006</v>
      </c>
      <c r="C305" s="11" t="n">
        <v>72</v>
      </c>
      <c r="D305" s="11" t="n">
        <v>87.5</v>
      </c>
    </row>
    <row r="306">
      <c r="A306" s="10" t="n">
        <v>22</v>
      </c>
      <c r="B306" s="10" t="n">
        <v>2007</v>
      </c>
      <c r="C306" s="11" t="n">
        <v>71.7</v>
      </c>
      <c r="D306" s="11" t="n">
        <v>91.67</v>
      </c>
    </row>
    <row r="307">
      <c r="A307" s="10" t="n">
        <v>23</v>
      </c>
      <c r="B307" s="10" t="n">
        <v>2003</v>
      </c>
      <c r="C307" s="11" t="n">
        <v>63.1</v>
      </c>
      <c r="D307" s="11" t="n">
        <v>95.83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2026-09-29T08:20:57Z</dcterms:created>
  <dcterms:modified xsi:type="dcterms:W3CDTF">2026-09-29T08:20:57Z</dcterms:modified>
</cp:coreProperties>
</file>