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ong cong IDF" sheetId="1" state="visible" r:id="rId1"/>
    <sheet name="TanSuat_TungThoiDo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1" fillId="0" borderId="0" pivotButton="0" quotePrefix="0" xfId="0"/>
    <xf numFmtId="0" fontId="2" fillId="0" borderId="0" pivotButton="0" quotePrefix="0" xfId="0"/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ĐƯỜNG CONG CƯỜNG ĐỘ MƯA TẦN SUẤT P = 1% (T = 100 NĂM)</a:t>
            </a:r>
          </a:p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TRẠM TÂN SƠN HOÀ</a:t>
            </a:r>
          </a:p>
        </rich>
      </tx>
    </title>
    <plotArea>
      <scatterChart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trendline>
            <trendlineType val="power"/>
            <dispRSqr val="1"/>
            <dispEq val="1"/>
          </trendline>
          <xVal>
            <numRef>
              <f>'Duong cong IDF'!$A$26:$A$33</f>
            </numRef>
          </xVal>
          <yVal>
            <numRef>
              <f>'Duong cong IDF'!$B$26:$B$33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Thời gian t (phút)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Cường độ mưa I (mm/phút)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ĐƯỜNG CONG CƯỜNG ĐỘ MƯA TẦN SUẤT P = 2% (T = 50 NĂM)</a:t>
            </a:r>
          </a:p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TRẠM TÂN SƠN HOÀ</a:t>
            </a:r>
          </a:p>
        </rich>
      </tx>
    </title>
    <plotArea>
      <scatterChart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trendline>
            <trendlineType val="power"/>
            <dispRSqr val="1"/>
            <dispEq val="1"/>
          </trendline>
          <xVal>
            <numRef>
              <f>'Duong cong IDF'!$A$26:$A$33</f>
            </numRef>
          </xVal>
          <yVal>
            <numRef>
              <f>'Duong cong IDF'!$C$26:$C$33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Thời gian t (phút)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Cường độ mưa I (mm/phút)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ĐƯỜNG CONG CƯỜNG ĐỘ MƯA TẦN SUẤT P = 3% (T = 33.3 NĂM)</a:t>
            </a:r>
          </a:p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TRẠM TÂN SƠN HOÀ</a:t>
            </a:r>
          </a:p>
        </rich>
      </tx>
    </title>
    <plotArea>
      <scatterChart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spPr>
          </marker>
          <trendline>
            <trendlineType val="power"/>
            <dispRSqr val="1"/>
            <dispEq val="1"/>
          </trendline>
          <xVal>
            <numRef>
              <f>'Duong cong IDF'!$A$26:$A$33</f>
            </numRef>
          </xVal>
          <yVal>
            <numRef>
              <f>'Duong cong IDF'!$D$26:$D$33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Thời gian t (phút)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Cường độ mưa I (mm/phút)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ĐƯỜNG CONG CƯỜNG ĐỘ MƯA TẦN SUẤT P = 4% (T = 25 NĂM)</a:t>
            </a:r>
          </a:p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TRẠM TÂN SƠN HOÀ</a:t>
            </a:r>
          </a:p>
        </rich>
      </tx>
    </title>
    <plotArea>
      <scatterChart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trendline>
            <trendlineType val="power"/>
            <dispRSqr val="1"/>
            <dispEq val="1"/>
          </trendline>
          <xVal>
            <numRef>
              <f>'Duong cong IDF'!$A$26:$A$33</f>
            </numRef>
          </xVal>
          <yVal>
            <numRef>
              <f>'Duong cong IDF'!$E$26:$E$33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Thời gian t (phút)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Cường độ mưa I (mm/phút)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ĐƯỜNG CONG CƯỜNG ĐỘ MƯA TẦN SUẤT P = 5% (T = 20 NĂM)</a:t>
            </a:r>
          </a:p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TRẠM TÂN SƠN HOÀ</a:t>
            </a:r>
          </a:p>
        </rich>
      </tx>
    </title>
    <plotArea>
      <scatterChart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trendline>
            <trendlineType val="power"/>
            <dispRSqr val="1"/>
            <dispEq val="1"/>
          </trendline>
          <xVal>
            <numRef>
              <f>'Duong cong IDF'!$A$26:$A$33</f>
            </numRef>
          </xVal>
          <yVal>
            <numRef>
              <f>'Duong cong IDF'!$F$26:$F$33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Thời gian t (phút)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Cường độ mưa I (mm/phút)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ĐƯỜNG CONG CƯỜNG ĐỘ MƯA TẦN SUẤT P = 10% (T = 10 NĂM)</a:t>
            </a:r>
          </a:p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TRẠM TÂN SƠN HOÀ</a:t>
            </a:r>
          </a:p>
        </rich>
      </tx>
    </title>
    <plotArea>
      <scatterChart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385723"/>
              </a:solidFill>
              <a:ln>
                <a:solidFill>
                  <a:srgbClr val="385723"/>
                </a:solidFill>
                <a:prstDash val="solid"/>
              </a:ln>
            </spPr>
          </marker>
          <trendline>
            <trendlineType val="power"/>
            <dispRSqr val="1"/>
            <dispEq val="1"/>
          </trendline>
          <xVal>
            <numRef>
              <f>'Duong cong IDF'!$A$26:$A$33</f>
            </numRef>
          </xVal>
          <yVal>
            <numRef>
              <f>'Duong cong IDF'!$G$26:$G$33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Thời gian t (phút)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Cường độ mưa I (mm/phút)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ĐƯỜNG CONG CƯỜNG ĐỘ MƯA TẦN SUẤT P = 20% (T = 5 NĂM)</a:t>
            </a:r>
          </a:p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TRẠM TÂN SƠN HOÀ</a:t>
            </a:r>
          </a:p>
        </rich>
      </tx>
    </title>
    <plotArea>
      <scatterChart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trendline>
            <trendlineType val="power"/>
            <dispRSqr val="1"/>
            <dispEq val="1"/>
          </trendline>
          <xVal>
            <numRef>
              <f>'Duong cong IDF'!$A$26:$A$33</f>
            </numRef>
          </xVal>
          <yVal>
            <numRef>
              <f>'Duong cong IDF'!$H$26:$H$33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Thời gian t (phút)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Cường độ mưa I (mm/phút)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ĐƯỜNG CONG CƯỜNG ĐỘ MƯA TẦN SUẤT P = 25% (T = 4 NĂM)</a:t>
            </a:r>
          </a:p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TRẠM TÂN SƠN HOÀ</a:t>
            </a:r>
          </a:p>
        </rich>
      </tx>
    </title>
    <plotArea>
      <scatterChart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spPr>
          </marker>
          <trendline>
            <trendlineType val="power"/>
            <dispRSqr val="1"/>
            <dispEq val="1"/>
          </trendline>
          <xVal>
            <numRef>
              <f>'Duong cong IDF'!$A$26:$A$33</f>
            </numRef>
          </xVal>
          <yVal>
            <numRef>
              <f>'Duong cong IDF'!$I$26:$I$33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Thời gian t (phút)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Cường độ mưa I (mm/phút)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ĐƯỜNG CONG CƯỜNG ĐỘ MƯA TẦN SUẤT P = 50% (T = 2 NĂM)</a:t>
            </a:r>
          </a:p>
          <a:p>
            <a:pPr>
              <a:defRPr sz="1050" b="1">
                <a:latin typeface="Times New Roman"/>
              </a:defRPr>
            </a:pPr>
            <a:r>
              <a:rPr sz="1050" b="1">
                <a:latin typeface="Times New Roman"/>
              </a:rPr>
              <a:t>TRẠM TÂN SƠN HOÀ</a:t>
            </a:r>
          </a:p>
        </rich>
      </tx>
    </title>
    <plotArea>
      <scatterChart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002060"/>
              </a:solidFill>
              <a:ln>
                <a:solidFill>
                  <a:srgbClr val="002060"/>
                </a:solidFill>
                <a:prstDash val="solid"/>
              </a:ln>
            </spPr>
          </marker>
          <trendline>
            <trendlineType val="power"/>
            <dispRSqr val="1"/>
            <dispEq val="1"/>
          </trendline>
          <xVal>
            <numRef>
              <f>'Duong cong IDF'!$A$26:$A$33</f>
            </numRef>
          </xVal>
          <yVal>
            <numRef>
              <f>'Duong cong IDF'!$J$26:$J$33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Thời gian t (phút)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 sz="950" b="0">
                    <a:latin typeface="Times New Roman"/>
                  </a:defRPr>
                </a:pPr>
                <a:r>
                  <a:rPr sz="950" b="0">
                    <a:latin typeface="Times New Roman"/>
                  </a:rPr>
                  <a:t>Cường độ mưa I (mm/phút)</a:t>
                </a:r>
              </a:p>
            </rich>
          </tx>
        </title>
        <majorTickMark val="none"/>
        <minorTickMark val="none"/>
        <txPr>
          <a:bodyPr/>
          <a:p>
            <a:pPr>
              <a:defRPr sz="850">
                <a:latin typeface="Times New Roman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5</row>
      <rowOff>0</rowOff>
    </from>
    <ext cx="5580000" cy="3528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22</col>
      <colOff>0</colOff>
      <row>5</row>
      <rowOff>0</rowOff>
    </from>
    <ext cx="5580000" cy="3528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25</row>
      <rowOff>0</rowOff>
    </from>
    <ext cx="5580000" cy="3528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22</col>
      <colOff>0</colOff>
      <row>25</row>
      <rowOff>0</rowOff>
    </from>
    <ext cx="5580000" cy="3528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12</col>
      <colOff>0</colOff>
      <row>45</row>
      <rowOff>0</rowOff>
    </from>
    <ext cx="5580000" cy="3528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22</col>
      <colOff>0</colOff>
      <row>45</row>
      <rowOff>0</rowOff>
    </from>
    <ext cx="5580000" cy="3528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12</col>
      <colOff>0</colOff>
      <row>65</row>
      <rowOff>0</rowOff>
    </from>
    <ext cx="5580000" cy="3528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22</col>
      <colOff>0</colOff>
      <row>65</row>
      <rowOff>0</rowOff>
    </from>
    <ext cx="5580000" cy="3528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12</col>
      <colOff>0</colOff>
      <row>85</row>
      <rowOff>0</rowOff>
    </from>
    <ext cx="5580000" cy="3528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67"/>
  <sheetViews>
    <sheetView workbookViewId="0">
      <selection activeCell="A1" sqref="A1"/>
    </sheetView>
  </sheetViews>
  <sheetFormatPr baseColWidth="8" defaultRowHeight="15"/>
  <cols>
    <col width="12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2">
      <c r="A2" s="1" t="inlineStr">
        <is>
          <t>XÂY DỰNG ĐƯỜNG CONG CƯỜNG ĐỘ MƯA (IDF)</t>
        </is>
      </c>
    </row>
    <row r="3">
      <c r="A3" s="1" t="inlineStr">
        <is>
          <t>TRẠM TÂN SƠN HOÀ</t>
        </is>
      </c>
    </row>
    <row r="6">
      <c r="A6" s="2" t="inlineStr">
        <is>
          <t>Thời đoạn</t>
        </is>
      </c>
      <c r="B6" s="2" t="inlineStr">
        <is>
          <t>Lượng mưa thời đoạn I (mm) tương ứng với chu kỳ lặp lại N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>
        <is>
          <t>t (phút)</t>
        </is>
      </c>
      <c r="B7" s="2" t="inlineStr">
        <is>
          <t>1.00</t>
        </is>
      </c>
      <c r="C7" s="2" t="inlineStr">
        <is>
          <t>2.00</t>
        </is>
      </c>
      <c r="D7" s="2" t="inlineStr">
        <is>
          <t>3.00</t>
        </is>
      </c>
      <c r="E7" s="2" t="inlineStr">
        <is>
          <t>4.00</t>
        </is>
      </c>
      <c r="F7" s="2" t="inlineStr">
        <is>
          <t>5.00</t>
        </is>
      </c>
      <c r="G7" s="2" t="inlineStr">
        <is>
          <t>10.00</t>
        </is>
      </c>
      <c r="H7" s="2" t="inlineStr">
        <is>
          <t>20.00</t>
        </is>
      </c>
      <c r="I7" s="2" t="inlineStr">
        <is>
          <t>25.00</t>
        </is>
      </c>
      <c r="J7" s="2" t="inlineStr">
        <is>
          <t>50.00</t>
        </is>
      </c>
      <c r="K7" s="2" t="inlineStr">
        <is>
          <t>Tần suất%</t>
        </is>
      </c>
    </row>
    <row r="8">
      <c r="A8" s="2" t="n"/>
      <c r="B8" s="2" t="n">
        <v>100</v>
      </c>
      <c r="C8" s="2" t="n">
        <v>50</v>
      </c>
      <c r="D8" s="2" t="n">
        <v>33.3</v>
      </c>
      <c r="E8" s="2" t="n">
        <v>25</v>
      </c>
      <c r="F8" s="2" t="n">
        <v>20</v>
      </c>
      <c r="G8" s="2" t="n">
        <v>10</v>
      </c>
      <c r="H8" s="2" t="n">
        <v>5</v>
      </c>
      <c r="I8" s="2" t="n">
        <v>4</v>
      </c>
      <c r="J8" s="2" t="n">
        <v>2</v>
      </c>
      <c r="K8" s="2" t="inlineStr">
        <is>
          <t>Chu kỳ lặp</t>
        </is>
      </c>
    </row>
    <row r="9">
      <c r="A9" s="3" t="n">
        <v>5</v>
      </c>
      <c r="B9" s="4" t="n">
        <v>30.38</v>
      </c>
      <c r="C9" s="4" t="n">
        <v>28.84</v>
      </c>
      <c r="D9" s="4" t="n">
        <v>27.91</v>
      </c>
      <c r="E9" s="4" t="n">
        <v>27.23</v>
      </c>
      <c r="F9" s="4" t="n">
        <v>26.69</v>
      </c>
      <c r="G9" s="4" t="n">
        <v>24.93</v>
      </c>
      <c r="H9" s="4" t="n">
        <v>22.99</v>
      </c>
      <c r="I9" s="4" t="n">
        <v>22.31</v>
      </c>
      <c r="J9" s="4" t="n">
        <v>19.84</v>
      </c>
      <c r="K9" s="5" t="n"/>
    </row>
    <row r="10">
      <c r="A10" s="3" t="n">
        <v>10</v>
      </c>
      <c r="B10" s="4" t="n">
        <v>44.04</v>
      </c>
      <c r="C10" s="4" t="n">
        <v>41.96</v>
      </c>
      <c r="D10" s="4" t="n">
        <v>40.7</v>
      </c>
      <c r="E10" s="4" t="n">
        <v>39.79</v>
      </c>
      <c r="F10" s="4" t="n">
        <v>39.06</v>
      </c>
      <c r="G10" s="4" t="n">
        <v>36.67</v>
      </c>
      <c r="H10" s="4" t="n">
        <v>34.03</v>
      </c>
      <c r="I10" s="4" t="n">
        <v>33.1</v>
      </c>
      <c r="J10" s="4" t="n">
        <v>29.69</v>
      </c>
      <c r="K10" s="5" t="n"/>
    </row>
    <row r="11">
      <c r="A11" s="3" t="n">
        <v>15</v>
      </c>
      <c r="B11" s="4" t="n">
        <v>60.59</v>
      </c>
      <c r="C11" s="4" t="n">
        <v>57.35</v>
      </c>
      <c r="D11" s="4" t="n">
        <v>55.4</v>
      </c>
      <c r="E11" s="4" t="n">
        <v>53.97</v>
      </c>
      <c r="F11" s="4" t="n">
        <v>52.84</v>
      </c>
      <c r="G11" s="4" t="n">
        <v>49.18</v>
      </c>
      <c r="H11" s="4" t="n">
        <v>45.15</v>
      </c>
      <c r="I11" s="4" t="n">
        <v>43.74</v>
      </c>
      <c r="J11" s="4" t="n">
        <v>38.66</v>
      </c>
      <c r="K11" s="5" t="n"/>
    </row>
    <row r="12">
      <c r="A12" s="3" t="n">
        <v>20</v>
      </c>
      <c r="B12" s="4" t="n">
        <v>73.59</v>
      </c>
      <c r="C12" s="4" t="n">
        <v>69.76000000000001</v>
      </c>
      <c r="D12" s="4" t="n">
        <v>67.44</v>
      </c>
      <c r="E12" s="4" t="n">
        <v>65.75</v>
      </c>
      <c r="F12" s="4" t="n">
        <v>64.41</v>
      </c>
      <c r="G12" s="4" t="n">
        <v>60.05</v>
      </c>
      <c r="H12" s="4" t="n">
        <v>55.26</v>
      </c>
      <c r="I12" s="4" t="n">
        <v>53.58</v>
      </c>
      <c r="J12" s="4" t="n">
        <v>47.51</v>
      </c>
      <c r="K12" s="5" t="n"/>
    </row>
    <row r="13">
      <c r="A13" s="3" t="n">
        <v>30</v>
      </c>
      <c r="B13" s="4" t="n">
        <v>100.71</v>
      </c>
      <c r="C13" s="4" t="n">
        <v>95.26000000000001</v>
      </c>
      <c r="D13" s="4" t="n">
        <v>91.95999999999999</v>
      </c>
      <c r="E13" s="4" t="n">
        <v>89.56</v>
      </c>
      <c r="F13" s="4" t="n">
        <v>87.66</v>
      </c>
      <c r="G13" s="4" t="n">
        <v>81.5</v>
      </c>
      <c r="H13" s="4" t="n">
        <v>74.73</v>
      </c>
      <c r="I13" s="4" t="n">
        <v>72.36</v>
      </c>
      <c r="J13" s="4" t="n">
        <v>63.86</v>
      </c>
      <c r="K13" s="5" t="n"/>
    </row>
    <row r="14">
      <c r="A14" s="3" t="n">
        <v>45</v>
      </c>
      <c r="B14" s="4" t="n">
        <v>134.39</v>
      </c>
      <c r="C14" s="4" t="n">
        <v>125.6</v>
      </c>
      <c r="D14" s="4" t="n">
        <v>120.32</v>
      </c>
      <c r="E14" s="4" t="n">
        <v>116.51</v>
      </c>
      <c r="F14" s="4" t="n">
        <v>113.5</v>
      </c>
      <c r="G14" s="4" t="n">
        <v>103.8</v>
      </c>
      <c r="H14" s="4" t="n">
        <v>93.36</v>
      </c>
      <c r="I14" s="4" t="n">
        <v>89.75</v>
      </c>
      <c r="J14" s="4" t="n">
        <v>77.12</v>
      </c>
      <c r="K14" s="5" t="n"/>
    </row>
    <row r="15">
      <c r="A15" s="3" t="n">
        <v>60</v>
      </c>
      <c r="B15" s="4" t="n">
        <v>163.27</v>
      </c>
      <c r="C15" s="4" t="n">
        <v>151.21</v>
      </c>
      <c r="D15" s="4" t="n">
        <v>144.01</v>
      </c>
      <c r="E15" s="4" t="n">
        <v>138.82</v>
      </c>
      <c r="F15" s="4" t="n">
        <v>134.74</v>
      </c>
      <c r="G15" s="4" t="n">
        <v>121.68</v>
      </c>
      <c r="H15" s="4" t="n">
        <v>107.79</v>
      </c>
      <c r="I15" s="4" t="n">
        <v>103.05</v>
      </c>
      <c r="J15" s="4" t="n">
        <v>86.73999999999999</v>
      </c>
      <c r="K15" s="5" t="n"/>
    </row>
    <row r="16">
      <c r="A16" s="3" t="n">
        <v>180</v>
      </c>
      <c r="B16" s="4" t="n">
        <v>207.76</v>
      </c>
      <c r="C16" s="4" t="n">
        <v>191.25</v>
      </c>
      <c r="D16" s="4" t="n">
        <v>181.41</v>
      </c>
      <c r="E16" s="4" t="n">
        <v>174.34</v>
      </c>
      <c r="F16" s="4" t="n">
        <v>168.79</v>
      </c>
      <c r="G16" s="4" t="n">
        <v>151.11</v>
      </c>
      <c r="H16" s="4" t="n">
        <v>132.47</v>
      </c>
      <c r="I16" s="4" t="n">
        <v>126.15</v>
      </c>
      <c r="J16" s="4" t="n">
        <v>104.71</v>
      </c>
      <c r="K16" s="5" t="n"/>
    </row>
    <row r="23">
      <c r="A23" s="2" t="inlineStr">
        <is>
          <t>Thời đoạn</t>
        </is>
      </c>
      <c r="B23" s="2" t="inlineStr">
        <is>
          <t>Cường độ mưa I (mm/phút) tương ứng với chu kỳ lặp lại N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inlineStr">
        <is>
          <t>t (phút)</t>
        </is>
      </c>
      <c r="B24" s="2" t="inlineStr">
        <is>
          <t>1.00</t>
        </is>
      </c>
      <c r="C24" s="2" t="inlineStr">
        <is>
          <t>2.00</t>
        </is>
      </c>
      <c r="D24" s="2" t="inlineStr">
        <is>
          <t>3.00</t>
        </is>
      </c>
      <c r="E24" s="2" t="inlineStr">
        <is>
          <t>4.00</t>
        </is>
      </c>
      <c r="F24" s="2" t="inlineStr">
        <is>
          <t>5.00</t>
        </is>
      </c>
      <c r="G24" s="2" t="inlineStr">
        <is>
          <t>10.00</t>
        </is>
      </c>
      <c r="H24" s="2" t="inlineStr">
        <is>
          <t>20.00</t>
        </is>
      </c>
      <c r="I24" s="2" t="inlineStr">
        <is>
          <t>25.00</t>
        </is>
      </c>
      <c r="J24" s="2" t="inlineStr">
        <is>
          <t>50.00</t>
        </is>
      </c>
      <c r="K24" s="2" t="inlineStr">
        <is>
          <t>Tần suất%</t>
        </is>
      </c>
    </row>
    <row r="25">
      <c r="A25" s="2" t="n"/>
      <c r="B25" s="2" t="n">
        <v>100</v>
      </c>
      <c r="C25" s="2" t="n">
        <v>50</v>
      </c>
      <c r="D25" s="2" t="n">
        <v>33.3</v>
      </c>
      <c r="E25" s="2" t="n">
        <v>25</v>
      </c>
      <c r="F25" s="2" t="n">
        <v>20</v>
      </c>
      <c r="G25" s="2" t="n">
        <v>10</v>
      </c>
      <c r="H25" s="2" t="n">
        <v>5</v>
      </c>
      <c r="I25" s="2" t="n">
        <v>4</v>
      </c>
      <c r="J25" s="2" t="n">
        <v>2</v>
      </c>
      <c r="K25" s="2" t="inlineStr">
        <is>
          <t>Chu kỳ lặp</t>
        </is>
      </c>
    </row>
    <row r="26">
      <c r="A26" s="3" t="n">
        <v>5</v>
      </c>
      <c r="B26" s="6">
        <f>B9/$A26</f>
        <v/>
      </c>
      <c r="C26" s="6">
        <f>C9/$A26</f>
        <v/>
      </c>
      <c r="D26" s="6">
        <f>D9/$A26</f>
        <v/>
      </c>
      <c r="E26" s="6">
        <f>E9/$A26</f>
        <v/>
      </c>
      <c r="F26" s="6">
        <f>F9/$A26</f>
        <v/>
      </c>
      <c r="G26" s="6">
        <f>G9/$A26</f>
        <v/>
      </c>
      <c r="H26" s="6">
        <f>H9/$A26</f>
        <v/>
      </c>
      <c r="I26" s="6">
        <f>I9/$A26</f>
        <v/>
      </c>
      <c r="J26" s="6">
        <f>J9/$A26</f>
        <v/>
      </c>
      <c r="K26" s="5" t="n"/>
    </row>
    <row r="27">
      <c r="A27" s="3" t="n">
        <v>10</v>
      </c>
      <c r="B27" s="6">
        <f>B10/$A27</f>
        <v/>
      </c>
      <c r="C27" s="6">
        <f>C10/$A27</f>
        <v/>
      </c>
      <c r="D27" s="6">
        <f>D10/$A27</f>
        <v/>
      </c>
      <c r="E27" s="6">
        <f>E10/$A27</f>
        <v/>
      </c>
      <c r="F27" s="6">
        <f>F10/$A27</f>
        <v/>
      </c>
      <c r="G27" s="6">
        <f>G10/$A27</f>
        <v/>
      </c>
      <c r="H27" s="6">
        <f>H10/$A27</f>
        <v/>
      </c>
      <c r="I27" s="6">
        <f>I10/$A27</f>
        <v/>
      </c>
      <c r="J27" s="6">
        <f>J10/$A27</f>
        <v/>
      </c>
      <c r="K27" s="5" t="n"/>
    </row>
    <row r="28">
      <c r="A28" s="3" t="n">
        <v>15</v>
      </c>
      <c r="B28" s="6">
        <f>B11/$A28</f>
        <v/>
      </c>
      <c r="C28" s="6">
        <f>C11/$A28</f>
        <v/>
      </c>
      <c r="D28" s="6">
        <f>D11/$A28</f>
        <v/>
      </c>
      <c r="E28" s="6">
        <f>E11/$A28</f>
        <v/>
      </c>
      <c r="F28" s="6">
        <f>F11/$A28</f>
        <v/>
      </c>
      <c r="G28" s="6">
        <f>G11/$A28</f>
        <v/>
      </c>
      <c r="H28" s="6">
        <f>H11/$A28</f>
        <v/>
      </c>
      <c r="I28" s="6">
        <f>I11/$A28</f>
        <v/>
      </c>
      <c r="J28" s="6">
        <f>J11/$A28</f>
        <v/>
      </c>
      <c r="K28" s="5" t="n"/>
    </row>
    <row r="29">
      <c r="A29" s="3" t="n">
        <v>20</v>
      </c>
      <c r="B29" s="6">
        <f>B12/$A29</f>
        <v/>
      </c>
      <c r="C29" s="6">
        <f>C12/$A29</f>
        <v/>
      </c>
      <c r="D29" s="6">
        <f>D12/$A29</f>
        <v/>
      </c>
      <c r="E29" s="6">
        <f>E12/$A29</f>
        <v/>
      </c>
      <c r="F29" s="6">
        <f>F12/$A29</f>
        <v/>
      </c>
      <c r="G29" s="6">
        <f>G12/$A29</f>
        <v/>
      </c>
      <c r="H29" s="6">
        <f>H12/$A29</f>
        <v/>
      </c>
      <c r="I29" s="6">
        <f>I12/$A29</f>
        <v/>
      </c>
      <c r="J29" s="6">
        <f>J12/$A29</f>
        <v/>
      </c>
      <c r="K29" s="5" t="n"/>
    </row>
    <row r="30">
      <c r="A30" s="3" t="n">
        <v>30</v>
      </c>
      <c r="B30" s="6">
        <f>B13/$A30</f>
        <v/>
      </c>
      <c r="C30" s="6">
        <f>C13/$A30</f>
        <v/>
      </c>
      <c r="D30" s="6">
        <f>D13/$A30</f>
        <v/>
      </c>
      <c r="E30" s="6">
        <f>E13/$A30</f>
        <v/>
      </c>
      <c r="F30" s="6">
        <f>F13/$A30</f>
        <v/>
      </c>
      <c r="G30" s="6">
        <f>G13/$A30</f>
        <v/>
      </c>
      <c r="H30" s="6">
        <f>H13/$A30</f>
        <v/>
      </c>
      <c r="I30" s="6">
        <f>I13/$A30</f>
        <v/>
      </c>
      <c r="J30" s="6">
        <f>J13/$A30</f>
        <v/>
      </c>
      <c r="K30" s="5" t="n"/>
    </row>
    <row r="31">
      <c r="A31" s="3" t="n">
        <v>45</v>
      </c>
      <c r="B31" s="6">
        <f>B14/$A31</f>
        <v/>
      </c>
      <c r="C31" s="6">
        <f>C14/$A31</f>
        <v/>
      </c>
      <c r="D31" s="6">
        <f>D14/$A31</f>
        <v/>
      </c>
      <c r="E31" s="6">
        <f>E14/$A31</f>
        <v/>
      </c>
      <c r="F31" s="6">
        <f>F14/$A31</f>
        <v/>
      </c>
      <c r="G31" s="6">
        <f>G14/$A31</f>
        <v/>
      </c>
      <c r="H31" s="6">
        <f>H14/$A31</f>
        <v/>
      </c>
      <c r="I31" s="6">
        <f>I14/$A31</f>
        <v/>
      </c>
      <c r="J31" s="6">
        <f>J14/$A31</f>
        <v/>
      </c>
      <c r="K31" s="5" t="n"/>
    </row>
    <row r="32">
      <c r="A32" s="3" t="n">
        <v>60</v>
      </c>
      <c r="B32" s="6">
        <f>B15/$A32</f>
        <v/>
      </c>
      <c r="C32" s="6">
        <f>C15/$A32</f>
        <v/>
      </c>
      <c r="D32" s="6">
        <f>D15/$A32</f>
        <v/>
      </c>
      <c r="E32" s="6">
        <f>E15/$A32</f>
        <v/>
      </c>
      <c r="F32" s="6">
        <f>F15/$A32</f>
        <v/>
      </c>
      <c r="G32" s="6">
        <f>G15/$A32</f>
        <v/>
      </c>
      <c r="H32" s="6">
        <f>H15/$A32</f>
        <v/>
      </c>
      <c r="I32" s="6">
        <f>I15/$A32</f>
        <v/>
      </c>
      <c r="J32" s="6">
        <f>J15/$A32</f>
        <v/>
      </c>
      <c r="K32" s="5" t="n"/>
    </row>
    <row r="33">
      <c r="A33" s="3" t="n">
        <v>180</v>
      </c>
      <c r="B33" s="6">
        <f>B16/$A33</f>
        <v/>
      </c>
      <c r="C33" s="6">
        <f>C16/$A33</f>
        <v/>
      </c>
      <c r="D33" s="6">
        <f>D16/$A33</f>
        <v/>
      </c>
      <c r="E33" s="6">
        <f>E16/$A33</f>
        <v/>
      </c>
      <c r="F33" s="6">
        <f>F16/$A33</f>
        <v/>
      </c>
      <c r="G33" s="6">
        <f>G16/$A33</f>
        <v/>
      </c>
      <c r="H33" s="6">
        <f>H16/$A33</f>
        <v/>
      </c>
      <c r="I33" s="6">
        <f>I16/$A33</f>
        <v/>
      </c>
      <c r="J33" s="6">
        <f>J16/$A33</f>
        <v/>
      </c>
      <c r="K33" s="5" t="n"/>
    </row>
    <row r="40">
      <c r="A40" s="2" t="inlineStr">
        <is>
          <t>Thời đoạn</t>
        </is>
      </c>
      <c r="B40" s="2" t="inlineStr">
        <is>
          <t>Cường độ mưa I (mm/h) tương ứng với chu kỳ lặp lại N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2" t="inlineStr">
        <is>
          <t>t (phút)</t>
        </is>
      </c>
      <c r="B41" s="2" t="inlineStr">
        <is>
          <t>1.00</t>
        </is>
      </c>
      <c r="C41" s="2" t="inlineStr">
        <is>
          <t>2.00</t>
        </is>
      </c>
      <c r="D41" s="2" t="inlineStr">
        <is>
          <t>3.00</t>
        </is>
      </c>
      <c r="E41" s="2" t="inlineStr">
        <is>
          <t>4.00</t>
        </is>
      </c>
      <c r="F41" s="2" t="inlineStr">
        <is>
          <t>5.00</t>
        </is>
      </c>
      <c r="G41" s="2" t="inlineStr">
        <is>
          <t>10.00</t>
        </is>
      </c>
      <c r="H41" s="2" t="inlineStr">
        <is>
          <t>20.00</t>
        </is>
      </c>
      <c r="I41" s="2" t="inlineStr">
        <is>
          <t>25.00</t>
        </is>
      </c>
      <c r="J41" s="2" t="inlineStr">
        <is>
          <t>50.00</t>
        </is>
      </c>
      <c r="K41" s="2" t="inlineStr">
        <is>
          <t>Tần suất%</t>
        </is>
      </c>
    </row>
    <row r="42">
      <c r="A42" s="2" t="n"/>
      <c r="B42" s="2" t="n">
        <v>100</v>
      </c>
      <c r="C42" s="2" t="n">
        <v>50</v>
      </c>
      <c r="D42" s="2" t="n">
        <v>33.3</v>
      </c>
      <c r="E42" s="2" t="n">
        <v>25</v>
      </c>
      <c r="F42" s="2" t="n">
        <v>20</v>
      </c>
      <c r="G42" s="2" t="n">
        <v>10</v>
      </c>
      <c r="H42" s="2" t="n">
        <v>5</v>
      </c>
      <c r="I42" s="2" t="n">
        <v>4</v>
      </c>
      <c r="J42" s="2" t="n">
        <v>2</v>
      </c>
      <c r="K42" s="2" t="inlineStr">
        <is>
          <t>Chu kỳ lặp</t>
        </is>
      </c>
    </row>
    <row r="43">
      <c r="A43" s="3" t="n">
        <v>5</v>
      </c>
      <c r="B43" s="4">
        <f>B26*60</f>
        <v/>
      </c>
      <c r="C43" s="4">
        <f>C26*60</f>
        <v/>
      </c>
      <c r="D43" s="4">
        <f>D26*60</f>
        <v/>
      </c>
      <c r="E43" s="4">
        <f>E26*60</f>
        <v/>
      </c>
      <c r="F43" s="4">
        <f>F26*60</f>
        <v/>
      </c>
      <c r="G43" s="4">
        <f>G26*60</f>
        <v/>
      </c>
      <c r="H43" s="4">
        <f>H26*60</f>
        <v/>
      </c>
      <c r="I43" s="4">
        <f>I26*60</f>
        <v/>
      </c>
      <c r="J43" s="4">
        <f>J26*60</f>
        <v/>
      </c>
      <c r="K43" s="5" t="n"/>
    </row>
    <row r="44">
      <c r="A44" s="3" t="n">
        <v>10</v>
      </c>
      <c r="B44" s="4">
        <f>B27*60</f>
        <v/>
      </c>
      <c r="C44" s="4">
        <f>C27*60</f>
        <v/>
      </c>
      <c r="D44" s="4">
        <f>D27*60</f>
        <v/>
      </c>
      <c r="E44" s="4">
        <f>E27*60</f>
        <v/>
      </c>
      <c r="F44" s="4">
        <f>F27*60</f>
        <v/>
      </c>
      <c r="G44" s="4">
        <f>G27*60</f>
        <v/>
      </c>
      <c r="H44" s="4">
        <f>H27*60</f>
        <v/>
      </c>
      <c r="I44" s="4">
        <f>I27*60</f>
        <v/>
      </c>
      <c r="J44" s="4">
        <f>J27*60</f>
        <v/>
      </c>
      <c r="K44" s="5" t="n"/>
    </row>
    <row r="45">
      <c r="A45" s="3" t="n">
        <v>15</v>
      </c>
      <c r="B45" s="4">
        <f>B28*60</f>
        <v/>
      </c>
      <c r="C45" s="4">
        <f>C28*60</f>
        <v/>
      </c>
      <c r="D45" s="4">
        <f>D28*60</f>
        <v/>
      </c>
      <c r="E45" s="4">
        <f>E28*60</f>
        <v/>
      </c>
      <c r="F45" s="4">
        <f>F28*60</f>
        <v/>
      </c>
      <c r="G45" s="4">
        <f>G28*60</f>
        <v/>
      </c>
      <c r="H45" s="4">
        <f>H28*60</f>
        <v/>
      </c>
      <c r="I45" s="4">
        <f>I28*60</f>
        <v/>
      </c>
      <c r="J45" s="4">
        <f>J28*60</f>
        <v/>
      </c>
      <c r="K45" s="5" t="n"/>
    </row>
    <row r="46">
      <c r="A46" s="3" t="n">
        <v>20</v>
      </c>
      <c r="B46" s="4">
        <f>B29*60</f>
        <v/>
      </c>
      <c r="C46" s="4">
        <f>C29*60</f>
        <v/>
      </c>
      <c r="D46" s="4">
        <f>D29*60</f>
        <v/>
      </c>
      <c r="E46" s="4">
        <f>E29*60</f>
        <v/>
      </c>
      <c r="F46" s="4">
        <f>F29*60</f>
        <v/>
      </c>
      <c r="G46" s="4">
        <f>G29*60</f>
        <v/>
      </c>
      <c r="H46" s="4">
        <f>H29*60</f>
        <v/>
      </c>
      <c r="I46" s="4">
        <f>I29*60</f>
        <v/>
      </c>
      <c r="J46" s="4">
        <f>J29*60</f>
        <v/>
      </c>
      <c r="K46" s="5" t="n"/>
    </row>
    <row r="47">
      <c r="A47" s="3" t="n">
        <v>30</v>
      </c>
      <c r="B47" s="4">
        <f>B30*60</f>
        <v/>
      </c>
      <c r="C47" s="4">
        <f>C30*60</f>
        <v/>
      </c>
      <c r="D47" s="4">
        <f>D30*60</f>
        <v/>
      </c>
      <c r="E47" s="4">
        <f>E30*60</f>
        <v/>
      </c>
      <c r="F47" s="4">
        <f>F30*60</f>
        <v/>
      </c>
      <c r="G47" s="4">
        <f>G30*60</f>
        <v/>
      </c>
      <c r="H47" s="4">
        <f>H30*60</f>
        <v/>
      </c>
      <c r="I47" s="4">
        <f>I30*60</f>
        <v/>
      </c>
      <c r="J47" s="4">
        <f>J30*60</f>
        <v/>
      </c>
      <c r="K47" s="5" t="n"/>
    </row>
    <row r="48">
      <c r="A48" s="3" t="n">
        <v>45</v>
      </c>
      <c r="B48" s="4">
        <f>B31*60</f>
        <v/>
      </c>
      <c r="C48" s="4">
        <f>C31*60</f>
        <v/>
      </c>
      <c r="D48" s="4">
        <f>D31*60</f>
        <v/>
      </c>
      <c r="E48" s="4">
        <f>E31*60</f>
        <v/>
      </c>
      <c r="F48" s="4">
        <f>F31*60</f>
        <v/>
      </c>
      <c r="G48" s="4">
        <f>G31*60</f>
        <v/>
      </c>
      <c r="H48" s="4">
        <f>H31*60</f>
        <v/>
      </c>
      <c r="I48" s="4">
        <f>I31*60</f>
        <v/>
      </c>
      <c r="J48" s="4">
        <f>J31*60</f>
        <v/>
      </c>
      <c r="K48" s="5" t="n"/>
    </row>
    <row r="49">
      <c r="A49" s="3" t="n">
        <v>60</v>
      </c>
      <c r="B49" s="4">
        <f>B32*60</f>
        <v/>
      </c>
      <c r="C49" s="4">
        <f>C32*60</f>
        <v/>
      </c>
      <c r="D49" s="4">
        <f>D32*60</f>
        <v/>
      </c>
      <c r="E49" s="4">
        <f>E32*60</f>
        <v/>
      </c>
      <c r="F49" s="4">
        <f>F32*60</f>
        <v/>
      </c>
      <c r="G49" s="4">
        <f>G32*60</f>
        <v/>
      </c>
      <c r="H49" s="4">
        <f>H32*60</f>
        <v/>
      </c>
      <c r="I49" s="4">
        <f>I32*60</f>
        <v/>
      </c>
      <c r="J49" s="4">
        <f>J32*60</f>
        <v/>
      </c>
      <c r="K49" s="5" t="n"/>
    </row>
    <row r="50">
      <c r="A50" s="3" t="n">
        <v>180</v>
      </c>
      <c r="B50" s="4">
        <f>B33*60</f>
        <v/>
      </c>
      <c r="C50" s="4">
        <f>C33*60</f>
        <v/>
      </c>
      <c r="D50" s="4">
        <f>D33*60</f>
        <v/>
      </c>
      <c r="E50" s="4">
        <f>E33*60</f>
        <v/>
      </c>
      <c r="F50" s="4">
        <f>F33*60</f>
        <v/>
      </c>
      <c r="G50" s="4">
        <f>G33*60</f>
        <v/>
      </c>
      <c r="H50" s="4">
        <f>H33*60</f>
        <v/>
      </c>
      <c r="I50" s="4">
        <f>I33*60</f>
        <v/>
      </c>
      <c r="J50" s="4">
        <f>J33*60</f>
        <v/>
      </c>
      <c r="K50" s="5" t="n"/>
    </row>
    <row r="57">
      <c r="A57" s="2" t="inlineStr">
        <is>
          <t>Thời đoạn</t>
        </is>
      </c>
      <c r="B57" s="2" t="inlineStr">
        <is>
          <t>Cường độ mưa q (l/s/ha) tương ứng với chu kỳ lặp lại N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>
      <c r="A58" s="2" t="inlineStr">
        <is>
          <t>t (phút)</t>
        </is>
      </c>
      <c r="B58" s="2" t="inlineStr">
        <is>
          <t>1.00</t>
        </is>
      </c>
      <c r="C58" s="2" t="inlineStr">
        <is>
          <t>2.00</t>
        </is>
      </c>
      <c r="D58" s="2" t="inlineStr">
        <is>
          <t>3.00</t>
        </is>
      </c>
      <c r="E58" s="2" t="inlineStr">
        <is>
          <t>4.00</t>
        </is>
      </c>
      <c r="F58" s="2" t="inlineStr">
        <is>
          <t>5.00</t>
        </is>
      </c>
      <c r="G58" s="2" t="inlineStr">
        <is>
          <t>10.00</t>
        </is>
      </c>
      <c r="H58" s="2" t="inlineStr">
        <is>
          <t>20.00</t>
        </is>
      </c>
      <c r="I58" s="2" t="inlineStr">
        <is>
          <t>25.00</t>
        </is>
      </c>
      <c r="J58" s="2" t="inlineStr">
        <is>
          <t>50.00</t>
        </is>
      </c>
      <c r="K58" s="2" t="inlineStr">
        <is>
          <t>Tần suất%</t>
        </is>
      </c>
    </row>
    <row r="59">
      <c r="A59" s="2" t="n"/>
      <c r="B59" s="2" t="n">
        <v>100</v>
      </c>
      <c r="C59" s="2" t="n">
        <v>50</v>
      </c>
      <c r="D59" s="2" t="n">
        <v>33.3</v>
      </c>
      <c r="E59" s="2" t="n">
        <v>25</v>
      </c>
      <c r="F59" s="2" t="n">
        <v>20</v>
      </c>
      <c r="G59" s="2" t="n">
        <v>10</v>
      </c>
      <c r="H59" s="2" t="n">
        <v>5</v>
      </c>
      <c r="I59" s="2" t="n">
        <v>4</v>
      </c>
      <c r="J59" s="2" t="n">
        <v>2</v>
      </c>
      <c r="K59" s="2" t="inlineStr">
        <is>
          <t>Chu kỳ lặp</t>
        </is>
      </c>
    </row>
    <row r="60">
      <c r="A60" s="3" t="n">
        <v>5</v>
      </c>
      <c r="B60" s="4">
        <f>166.7*B26</f>
        <v/>
      </c>
      <c r="C60" s="4">
        <f>166.7*C26</f>
        <v/>
      </c>
      <c r="D60" s="4">
        <f>166.7*D26</f>
        <v/>
      </c>
      <c r="E60" s="4">
        <f>166.7*E26</f>
        <v/>
      </c>
      <c r="F60" s="4">
        <f>166.7*F26</f>
        <v/>
      </c>
      <c r="G60" s="4">
        <f>166.7*G26</f>
        <v/>
      </c>
      <c r="H60" s="4">
        <f>166.7*H26</f>
        <v/>
      </c>
      <c r="I60" s="4">
        <f>166.7*I26</f>
        <v/>
      </c>
      <c r="J60" s="4">
        <f>166.7*J26</f>
        <v/>
      </c>
      <c r="K60" s="5" t="n"/>
    </row>
    <row r="61">
      <c r="A61" s="3" t="n">
        <v>10</v>
      </c>
      <c r="B61" s="4">
        <f>166.7*B27</f>
        <v/>
      </c>
      <c r="C61" s="4">
        <f>166.7*C27</f>
        <v/>
      </c>
      <c r="D61" s="4">
        <f>166.7*D27</f>
        <v/>
      </c>
      <c r="E61" s="4">
        <f>166.7*E27</f>
        <v/>
      </c>
      <c r="F61" s="4">
        <f>166.7*F27</f>
        <v/>
      </c>
      <c r="G61" s="4">
        <f>166.7*G27</f>
        <v/>
      </c>
      <c r="H61" s="4">
        <f>166.7*H27</f>
        <v/>
      </c>
      <c r="I61" s="4">
        <f>166.7*I27</f>
        <v/>
      </c>
      <c r="J61" s="4">
        <f>166.7*J27</f>
        <v/>
      </c>
      <c r="K61" s="5" t="n"/>
    </row>
    <row r="62">
      <c r="A62" s="3" t="n">
        <v>15</v>
      </c>
      <c r="B62" s="4">
        <f>166.7*B28</f>
        <v/>
      </c>
      <c r="C62" s="4">
        <f>166.7*C28</f>
        <v/>
      </c>
      <c r="D62" s="4">
        <f>166.7*D28</f>
        <v/>
      </c>
      <c r="E62" s="4">
        <f>166.7*E28</f>
        <v/>
      </c>
      <c r="F62" s="4">
        <f>166.7*F28</f>
        <v/>
      </c>
      <c r="G62" s="4">
        <f>166.7*G28</f>
        <v/>
      </c>
      <c r="H62" s="4">
        <f>166.7*H28</f>
        <v/>
      </c>
      <c r="I62" s="4">
        <f>166.7*I28</f>
        <v/>
      </c>
      <c r="J62" s="4">
        <f>166.7*J28</f>
        <v/>
      </c>
      <c r="K62" s="5" t="n"/>
    </row>
    <row r="63">
      <c r="A63" s="3" t="n">
        <v>20</v>
      </c>
      <c r="B63" s="4">
        <f>166.7*B29</f>
        <v/>
      </c>
      <c r="C63" s="4">
        <f>166.7*C29</f>
        <v/>
      </c>
      <c r="D63" s="4">
        <f>166.7*D29</f>
        <v/>
      </c>
      <c r="E63" s="4">
        <f>166.7*E29</f>
        <v/>
      </c>
      <c r="F63" s="4">
        <f>166.7*F29</f>
        <v/>
      </c>
      <c r="G63" s="4">
        <f>166.7*G29</f>
        <v/>
      </c>
      <c r="H63" s="4">
        <f>166.7*H29</f>
        <v/>
      </c>
      <c r="I63" s="4">
        <f>166.7*I29</f>
        <v/>
      </c>
      <c r="J63" s="4">
        <f>166.7*J29</f>
        <v/>
      </c>
      <c r="K63" s="5" t="n"/>
    </row>
    <row r="64">
      <c r="A64" s="3" t="n">
        <v>30</v>
      </c>
      <c r="B64" s="4">
        <f>166.7*B30</f>
        <v/>
      </c>
      <c r="C64" s="4">
        <f>166.7*C30</f>
        <v/>
      </c>
      <c r="D64" s="4">
        <f>166.7*D30</f>
        <v/>
      </c>
      <c r="E64" s="4">
        <f>166.7*E30</f>
        <v/>
      </c>
      <c r="F64" s="4">
        <f>166.7*F30</f>
        <v/>
      </c>
      <c r="G64" s="4">
        <f>166.7*G30</f>
        <v/>
      </c>
      <c r="H64" s="4">
        <f>166.7*H30</f>
        <v/>
      </c>
      <c r="I64" s="4">
        <f>166.7*I30</f>
        <v/>
      </c>
      <c r="J64" s="4">
        <f>166.7*J30</f>
        <v/>
      </c>
      <c r="K64" s="5" t="n"/>
    </row>
    <row r="65">
      <c r="A65" s="3" t="n">
        <v>45</v>
      </c>
      <c r="B65" s="4">
        <f>166.7*B31</f>
        <v/>
      </c>
      <c r="C65" s="4">
        <f>166.7*C31</f>
        <v/>
      </c>
      <c r="D65" s="4">
        <f>166.7*D31</f>
        <v/>
      </c>
      <c r="E65" s="4">
        <f>166.7*E31</f>
        <v/>
      </c>
      <c r="F65" s="4">
        <f>166.7*F31</f>
        <v/>
      </c>
      <c r="G65" s="4">
        <f>166.7*G31</f>
        <v/>
      </c>
      <c r="H65" s="4">
        <f>166.7*H31</f>
        <v/>
      </c>
      <c r="I65" s="4">
        <f>166.7*I31</f>
        <v/>
      </c>
      <c r="J65" s="4">
        <f>166.7*J31</f>
        <v/>
      </c>
      <c r="K65" s="5" t="n"/>
    </row>
    <row r="66">
      <c r="A66" s="3" t="n">
        <v>60</v>
      </c>
      <c r="B66" s="4">
        <f>166.7*B32</f>
        <v/>
      </c>
      <c r="C66" s="4">
        <f>166.7*C32</f>
        <v/>
      </c>
      <c r="D66" s="4">
        <f>166.7*D32</f>
        <v/>
      </c>
      <c r="E66" s="4">
        <f>166.7*E32</f>
        <v/>
      </c>
      <c r="F66" s="4">
        <f>166.7*F32</f>
        <v/>
      </c>
      <c r="G66" s="4">
        <f>166.7*G32</f>
        <v/>
      </c>
      <c r="H66" s="4">
        <f>166.7*H32</f>
        <v/>
      </c>
      <c r="I66" s="4">
        <f>166.7*I32</f>
        <v/>
      </c>
      <c r="J66" s="4">
        <f>166.7*J32</f>
        <v/>
      </c>
      <c r="K66" s="5" t="n"/>
    </row>
    <row r="67">
      <c r="A67" s="3" t="n">
        <v>180</v>
      </c>
      <c r="B67" s="4">
        <f>166.7*B33</f>
        <v/>
      </c>
      <c r="C67" s="4">
        <f>166.7*C33</f>
        <v/>
      </c>
      <c r="D67" s="4">
        <f>166.7*D33</f>
        <v/>
      </c>
      <c r="E67" s="4">
        <f>166.7*E33</f>
        <v/>
      </c>
      <c r="F67" s="4">
        <f>166.7*F33</f>
        <v/>
      </c>
      <c r="G67" s="4">
        <f>166.7*G33</f>
        <v/>
      </c>
      <c r="H67" s="4">
        <f>166.7*H33</f>
        <v/>
      </c>
      <c r="I67" s="4">
        <f>166.7*I33</f>
        <v/>
      </c>
      <c r="J67" s="4">
        <f>166.7*J33</f>
        <v/>
      </c>
      <c r="K67" s="5" t="n"/>
    </row>
  </sheetData>
  <mergeCells count="10">
    <mergeCell ref="B23:K23"/>
    <mergeCell ref="A24:A25"/>
    <mergeCell ref="B57:K57"/>
    <mergeCell ref="A3:K3"/>
    <mergeCell ref="B40:K40"/>
    <mergeCell ref="A2:K2"/>
    <mergeCell ref="A7:A8"/>
    <mergeCell ref="A41:A42"/>
    <mergeCell ref="B6:K6"/>
    <mergeCell ref="A58:A5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K15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2">
      <c r="A2" s="7" t="inlineStr">
        <is>
          <t>PHÂN TÍCH TẦN SUẤT THỜI ĐOẠN 5 PHÚT (X_tb=20.32mm, Cv=0.169, Cs=0.847)</t>
        </is>
      </c>
    </row>
    <row r="3">
      <c r="A3" s="8" t="inlineStr">
        <is>
          <t>Bảng Tần Suất Kinh Nghiệm (Weibull)</t>
        </is>
      </c>
      <c r="F3" s="8" t="inlineStr">
        <is>
          <t>Bảng Tần Suất Lý Luận (Pearson III)</t>
        </is>
      </c>
    </row>
    <row r="4">
      <c r="A4" s="9" t="inlineStr">
        <is>
          <t>Hạng (m)</t>
        </is>
      </c>
      <c r="B4" s="9" t="inlineStr">
        <is>
          <t>Năm</t>
        </is>
      </c>
      <c r="C4" s="9" t="inlineStr">
        <is>
          <t>H (mm)</t>
        </is>
      </c>
      <c r="D4" s="9" t="inlineStr">
        <is>
          <t>P_kinh_nghiệm (%)</t>
        </is>
      </c>
      <c r="F4" s="9" t="inlineStr">
        <is>
          <t>Tần suất P (%)</t>
        </is>
      </c>
      <c r="G4" s="9" t="inlineStr">
        <is>
          <t>Chu kỳ T (năm)</t>
        </is>
      </c>
      <c r="H4" s="9" t="inlineStr">
        <is>
          <t>H_p (mm)</t>
        </is>
      </c>
      <c r="I4" s="9" t="inlineStr">
        <is>
          <t>I (mm/phút)</t>
        </is>
      </c>
      <c r="J4" s="9" t="inlineStr">
        <is>
          <t>I (mm/h)</t>
        </is>
      </c>
      <c r="K4" s="9" t="inlineStr">
        <is>
          <t>q (l/s.ha)</t>
        </is>
      </c>
    </row>
    <row r="5">
      <c r="A5" s="10" t="n">
        <v>1</v>
      </c>
      <c r="B5" s="10" t="n">
        <v>2020</v>
      </c>
      <c r="C5" s="11" t="n">
        <v>26.5</v>
      </c>
      <c r="D5" s="11" t="n">
        <v>9.09</v>
      </c>
      <c r="F5" s="11" t="n">
        <v>0.1</v>
      </c>
      <c r="G5" s="10" t="n">
        <v>1000</v>
      </c>
      <c r="H5" s="11" t="n">
        <v>35.17</v>
      </c>
      <c r="I5" s="12" t="n">
        <v>7.034</v>
      </c>
      <c r="J5" s="11" t="n">
        <v>422.04</v>
      </c>
      <c r="K5" s="11" t="n">
        <v>1172.56</v>
      </c>
    </row>
    <row r="6">
      <c r="A6" s="10" t="n">
        <v>2</v>
      </c>
      <c r="B6" s="10" t="n">
        <v>2018</v>
      </c>
      <c r="C6" s="11" t="n">
        <v>24.3</v>
      </c>
      <c r="D6" s="11" t="n">
        <v>18.18</v>
      </c>
      <c r="F6" s="11" t="n">
        <v>0.5</v>
      </c>
      <c r="G6" s="10" t="n">
        <v>200</v>
      </c>
      <c r="H6" s="11" t="n">
        <v>31.87</v>
      </c>
      <c r="I6" s="12" t="n">
        <v>6.374</v>
      </c>
      <c r="J6" s="11" t="n">
        <v>382.45</v>
      </c>
      <c r="K6" s="11" t="n">
        <v>1062.58</v>
      </c>
    </row>
    <row r="7">
      <c r="A7" s="10" t="n">
        <v>3</v>
      </c>
      <c r="B7" s="10" t="n">
        <v>2023</v>
      </c>
      <c r="C7" s="11" t="n">
        <v>23.5</v>
      </c>
      <c r="D7" s="11" t="n">
        <v>27.27</v>
      </c>
      <c r="F7" s="11" t="n">
        <v>1</v>
      </c>
      <c r="G7" s="10" t="n">
        <v>100</v>
      </c>
      <c r="H7" s="11" t="n">
        <v>30.38</v>
      </c>
      <c r="I7" s="12" t="n">
        <v>6.077</v>
      </c>
      <c r="J7" s="11" t="n">
        <v>364.6</v>
      </c>
      <c r="K7" s="11" t="n">
        <v>1012.99</v>
      </c>
    </row>
    <row r="8">
      <c r="A8" s="10" t="n">
        <v>4</v>
      </c>
      <c r="B8" s="10" t="n">
        <v>2016</v>
      </c>
      <c r="C8" s="11" t="n">
        <v>21.5</v>
      </c>
      <c r="D8" s="11" t="n">
        <v>36.36</v>
      </c>
      <c r="F8" s="11" t="n">
        <v>2</v>
      </c>
      <c r="G8" s="10" t="n">
        <v>50</v>
      </c>
      <c r="H8" s="11" t="n">
        <v>28.84</v>
      </c>
      <c r="I8" s="12" t="n">
        <v>5.768</v>
      </c>
      <c r="J8" s="11" t="n">
        <v>346.09</v>
      </c>
      <c r="K8" s="11" t="n">
        <v>961.55</v>
      </c>
    </row>
    <row r="9">
      <c r="A9" s="10" t="n">
        <v>5</v>
      </c>
      <c r="B9" s="10" t="n">
        <v>2019</v>
      </c>
      <c r="C9" s="11" t="n">
        <v>19.3</v>
      </c>
      <c r="D9" s="11" t="n">
        <v>45.45</v>
      </c>
      <c r="F9" s="11" t="n">
        <v>3</v>
      </c>
      <c r="G9" s="10" t="n">
        <v>33.3</v>
      </c>
      <c r="H9" s="11" t="n">
        <v>27.91</v>
      </c>
      <c r="I9" s="12" t="n">
        <v>5.581</v>
      </c>
      <c r="J9" s="11" t="n">
        <v>334.87</v>
      </c>
      <c r="K9" s="11" t="n">
        <v>930.38</v>
      </c>
    </row>
    <row r="10">
      <c r="A10" s="10" t="n">
        <v>6</v>
      </c>
      <c r="B10" s="10" t="n">
        <v>2024</v>
      </c>
      <c r="C10" s="11" t="n">
        <v>19</v>
      </c>
      <c r="D10" s="11" t="n">
        <v>54.55</v>
      </c>
      <c r="F10" s="11" t="n">
        <v>4</v>
      </c>
      <c r="G10" s="10" t="n">
        <v>25</v>
      </c>
      <c r="H10" s="11" t="n">
        <v>27.23</v>
      </c>
      <c r="I10" s="12" t="n">
        <v>5.445</v>
      </c>
      <c r="J10" s="11" t="n">
        <v>326.7</v>
      </c>
      <c r="K10" s="11" t="n">
        <v>907.6799999999999</v>
      </c>
    </row>
    <row r="11">
      <c r="A11" s="10" t="n">
        <v>7</v>
      </c>
      <c r="B11" s="10" t="n">
        <v>2017</v>
      </c>
      <c r="C11" s="11" t="n">
        <v>18</v>
      </c>
      <c r="D11" s="11" t="n">
        <v>63.64</v>
      </c>
      <c r="F11" s="11" t="n">
        <v>5</v>
      </c>
      <c r="G11" s="10" t="n">
        <v>20</v>
      </c>
      <c r="H11" s="11" t="n">
        <v>26.69</v>
      </c>
      <c r="I11" s="12" t="n">
        <v>5.337</v>
      </c>
      <c r="J11" s="11" t="n">
        <v>320.22</v>
      </c>
      <c r="K11" s="11" t="n">
        <v>889.6799999999999</v>
      </c>
    </row>
    <row r="12">
      <c r="A12" s="10" t="n">
        <v>8</v>
      </c>
      <c r="B12" s="10" t="n">
        <v>2025</v>
      </c>
      <c r="C12" s="11" t="n">
        <v>17.6</v>
      </c>
      <c r="D12" s="11" t="n">
        <v>72.73</v>
      </c>
      <c r="F12" s="11" t="n">
        <v>10</v>
      </c>
      <c r="G12" s="10" t="n">
        <v>10</v>
      </c>
      <c r="H12" s="11" t="n">
        <v>24.93</v>
      </c>
      <c r="I12" s="12" t="n">
        <v>4.985</v>
      </c>
      <c r="J12" s="11" t="n">
        <v>299.12</v>
      </c>
      <c r="K12" s="11" t="n">
        <v>831.04</v>
      </c>
    </row>
    <row r="13">
      <c r="A13" s="10" t="n">
        <v>9</v>
      </c>
      <c r="B13" s="10" t="n">
        <v>2022</v>
      </c>
      <c r="C13" s="11" t="n">
        <v>17</v>
      </c>
      <c r="D13" s="11" t="n">
        <v>81.81999999999999</v>
      </c>
      <c r="F13" s="11" t="n">
        <v>20</v>
      </c>
      <c r="G13" s="10" t="n">
        <v>5</v>
      </c>
      <c r="H13" s="11" t="n">
        <v>22.99</v>
      </c>
      <c r="I13" s="12" t="n">
        <v>4.598</v>
      </c>
      <c r="J13" s="11" t="n">
        <v>275.86</v>
      </c>
      <c r="K13" s="11" t="n">
        <v>766.42</v>
      </c>
    </row>
    <row r="14">
      <c r="A14" s="10" t="n">
        <v>10</v>
      </c>
      <c r="B14" s="10" t="n">
        <v>2021</v>
      </c>
      <c r="C14" s="11" t="n">
        <v>16.5</v>
      </c>
      <c r="D14" s="11" t="n">
        <v>90.91</v>
      </c>
      <c r="F14" s="11" t="n">
        <v>25</v>
      </c>
      <c r="G14" s="10" t="n">
        <v>4</v>
      </c>
      <c r="H14" s="11" t="n">
        <v>22.31</v>
      </c>
      <c r="I14" s="12" t="n">
        <v>4.461</v>
      </c>
      <c r="J14" s="11" t="n">
        <v>267.66</v>
      </c>
      <c r="K14" s="11" t="n">
        <v>743.66</v>
      </c>
    </row>
    <row r="15">
      <c r="F15" s="11" t="n">
        <v>33.3</v>
      </c>
      <c r="G15" s="10" t="n">
        <v>3</v>
      </c>
      <c r="H15" s="11" t="n">
        <v>21.36</v>
      </c>
      <c r="I15" s="12" t="n">
        <v>4.273</v>
      </c>
      <c r="J15" s="11" t="n">
        <v>256.38</v>
      </c>
      <c r="K15" s="11" t="n">
        <v>712.3</v>
      </c>
    </row>
    <row r="16">
      <c r="F16" s="11" t="n">
        <v>50</v>
      </c>
      <c r="G16" s="10" t="n">
        <v>2</v>
      </c>
      <c r="H16" s="11" t="n">
        <v>19.84</v>
      </c>
      <c r="I16" s="12" t="n">
        <v>3.968</v>
      </c>
      <c r="J16" s="11" t="n">
        <v>238.07</v>
      </c>
      <c r="K16" s="11" t="n">
        <v>661.4400000000001</v>
      </c>
    </row>
    <row r="17">
      <c r="F17" s="11" t="n">
        <v>75</v>
      </c>
      <c r="G17" s="10" t="n">
        <v>1.3</v>
      </c>
      <c r="H17" s="11" t="n">
        <v>17.81</v>
      </c>
      <c r="I17" s="12" t="n">
        <v>3.563</v>
      </c>
      <c r="J17" s="11" t="n">
        <v>213.75</v>
      </c>
      <c r="K17" s="11" t="n">
        <v>593.88</v>
      </c>
    </row>
    <row r="18">
      <c r="F18" s="11" t="n">
        <v>90</v>
      </c>
      <c r="G18" s="10" t="n">
        <v>1.1</v>
      </c>
      <c r="H18" s="11" t="n">
        <v>16.34</v>
      </c>
      <c r="I18" s="12" t="n">
        <v>3.267</v>
      </c>
      <c r="J18" s="11" t="n">
        <v>196.03</v>
      </c>
      <c r="K18" s="11" t="n">
        <v>544.63</v>
      </c>
    </row>
    <row r="19">
      <c r="F19" s="11" t="n">
        <v>95</v>
      </c>
      <c r="G19" s="10" t="n">
        <v>1.1</v>
      </c>
      <c r="H19" s="11" t="n">
        <v>15.6</v>
      </c>
      <c r="I19" s="12" t="n">
        <v>3.119</v>
      </c>
      <c r="J19" s="11" t="n">
        <v>187.15</v>
      </c>
      <c r="K19" s="11" t="n">
        <v>519.98</v>
      </c>
    </row>
    <row r="22">
      <c r="A22" s="7" t="inlineStr">
        <is>
          <t>PHÂN TÍCH TẦN SUẤT THỜI ĐOẠN 10 PHÚT (X_tb=30.31mm, Cv=0.157, Cs=0.786)</t>
        </is>
      </c>
    </row>
    <row r="23">
      <c r="A23" s="8" t="inlineStr">
        <is>
          <t>Bảng Tần Suất Kinh Nghiệm (Weibull)</t>
        </is>
      </c>
      <c r="F23" s="8" t="inlineStr">
        <is>
          <t>Bảng Tần Suất Lý Luận (Pearson III)</t>
        </is>
      </c>
    </row>
    <row r="24">
      <c r="A24" s="9" t="inlineStr">
        <is>
          <t>Hạng (m)</t>
        </is>
      </c>
      <c r="B24" s="9" t="inlineStr">
        <is>
          <t>Năm</t>
        </is>
      </c>
      <c r="C24" s="9" t="inlineStr">
        <is>
          <t>H (mm)</t>
        </is>
      </c>
      <c r="D24" s="9" t="inlineStr">
        <is>
          <t>P_kinh_nghiệm (%)</t>
        </is>
      </c>
      <c r="F24" s="9" t="inlineStr">
        <is>
          <t>Tần suất P (%)</t>
        </is>
      </c>
      <c r="G24" s="9" t="inlineStr">
        <is>
          <t>Chu kỳ T (năm)</t>
        </is>
      </c>
      <c r="H24" s="9" t="inlineStr">
        <is>
          <t>H_p (mm)</t>
        </is>
      </c>
      <c r="I24" s="9" t="inlineStr">
        <is>
          <t>I (mm/phút)</t>
        </is>
      </c>
      <c r="J24" s="9" t="inlineStr">
        <is>
          <t>I (mm/h)</t>
        </is>
      </c>
      <c r="K24" s="9" t="inlineStr">
        <is>
          <t>q (l/s.ha)</t>
        </is>
      </c>
    </row>
    <row r="25">
      <c r="A25" s="10" t="n">
        <v>1</v>
      </c>
      <c r="B25" s="10" t="n">
        <v>2020</v>
      </c>
      <c r="C25" s="11" t="n">
        <v>38.3</v>
      </c>
      <c r="D25" s="11" t="n">
        <v>9.09</v>
      </c>
      <c r="F25" s="11" t="n">
        <v>0.1</v>
      </c>
      <c r="G25" s="10" t="n">
        <v>1000</v>
      </c>
      <c r="H25" s="11" t="n">
        <v>50.43</v>
      </c>
      <c r="I25" s="12" t="n">
        <v>5.043</v>
      </c>
      <c r="J25" s="11" t="n">
        <v>302.58</v>
      </c>
      <c r="K25" s="11" t="n">
        <v>840.67</v>
      </c>
    </row>
    <row r="26">
      <c r="A26" s="10" t="n">
        <v>2</v>
      </c>
      <c r="B26" s="10" t="n">
        <v>2016</v>
      </c>
      <c r="C26" s="11" t="n">
        <v>36</v>
      </c>
      <c r="D26" s="11" t="n">
        <v>18.18</v>
      </c>
      <c r="F26" s="11" t="n">
        <v>0.5</v>
      </c>
      <c r="G26" s="10" t="n">
        <v>200</v>
      </c>
      <c r="H26" s="11" t="n">
        <v>46.03</v>
      </c>
      <c r="I26" s="12" t="n">
        <v>4.603</v>
      </c>
      <c r="J26" s="11" t="n">
        <v>276.17</v>
      </c>
      <c r="K26" s="11" t="n">
        <v>767.29</v>
      </c>
    </row>
    <row r="27">
      <c r="A27" s="10" t="n">
        <v>3</v>
      </c>
      <c r="B27" s="10" t="n">
        <v>2018</v>
      </c>
      <c r="C27" s="11" t="n">
        <v>33.5</v>
      </c>
      <c r="D27" s="11" t="n">
        <v>27.27</v>
      </c>
      <c r="F27" s="11" t="n">
        <v>1</v>
      </c>
      <c r="G27" s="10" t="n">
        <v>100</v>
      </c>
      <c r="H27" s="11" t="n">
        <v>44.04</v>
      </c>
      <c r="I27" s="12" t="n">
        <v>4.404</v>
      </c>
      <c r="J27" s="11" t="n">
        <v>264.21</v>
      </c>
      <c r="K27" s="11" t="n">
        <v>734.0700000000001</v>
      </c>
    </row>
    <row r="28">
      <c r="A28" s="10" t="n">
        <v>4</v>
      </c>
      <c r="B28" s="10" t="n">
        <v>2023</v>
      </c>
      <c r="C28" s="11" t="n">
        <v>33.1</v>
      </c>
      <c r="D28" s="11" t="n">
        <v>36.36</v>
      </c>
      <c r="F28" s="11" t="n">
        <v>2</v>
      </c>
      <c r="G28" s="10" t="n">
        <v>50</v>
      </c>
      <c r="H28" s="11" t="n">
        <v>41.96</v>
      </c>
      <c r="I28" s="12" t="n">
        <v>4.196</v>
      </c>
      <c r="J28" s="11" t="n">
        <v>251.78</v>
      </c>
      <c r="K28" s="11" t="n">
        <v>699.53</v>
      </c>
    </row>
    <row r="29">
      <c r="A29" s="10" t="n">
        <v>5</v>
      </c>
      <c r="B29" s="10" t="n">
        <v>2017</v>
      </c>
      <c r="C29" s="11" t="n">
        <v>30.6</v>
      </c>
      <c r="D29" s="11" t="n">
        <v>45.45</v>
      </c>
      <c r="F29" s="11" t="n">
        <v>3</v>
      </c>
      <c r="G29" s="10" t="n">
        <v>33.3</v>
      </c>
      <c r="H29" s="11" t="n">
        <v>40.7</v>
      </c>
      <c r="I29" s="12" t="n">
        <v>4.07</v>
      </c>
      <c r="J29" s="11" t="n">
        <v>244.23</v>
      </c>
      <c r="K29" s="11" t="n">
        <v>678.55</v>
      </c>
    </row>
    <row r="30">
      <c r="A30" s="10" t="n">
        <v>6</v>
      </c>
      <c r="B30" s="10" t="n">
        <v>2022</v>
      </c>
      <c r="C30" s="11" t="n">
        <v>28.5</v>
      </c>
      <c r="D30" s="11" t="n">
        <v>54.55</v>
      </c>
      <c r="F30" s="11" t="n">
        <v>4</v>
      </c>
      <c r="G30" s="10" t="n">
        <v>25</v>
      </c>
      <c r="H30" s="11" t="n">
        <v>39.79</v>
      </c>
      <c r="I30" s="12" t="n">
        <v>3.979</v>
      </c>
      <c r="J30" s="11" t="n">
        <v>238.72</v>
      </c>
      <c r="K30" s="11" t="n">
        <v>663.24</v>
      </c>
    </row>
    <row r="31">
      <c r="A31" s="10" t="n">
        <v>7</v>
      </c>
      <c r="B31" s="10" t="n">
        <v>2019</v>
      </c>
      <c r="C31" s="11" t="n">
        <v>27</v>
      </c>
      <c r="D31" s="11" t="n">
        <v>63.64</v>
      </c>
      <c r="F31" s="11" t="n">
        <v>5</v>
      </c>
      <c r="G31" s="10" t="n">
        <v>20</v>
      </c>
      <c r="H31" s="11" t="n">
        <v>39.06</v>
      </c>
      <c r="I31" s="12" t="n">
        <v>3.906</v>
      </c>
      <c r="J31" s="11" t="n">
        <v>234.34</v>
      </c>
      <c r="K31" s="11" t="n">
        <v>651.08</v>
      </c>
    </row>
    <row r="32">
      <c r="A32" s="10" t="n">
        <v>8</v>
      </c>
      <c r="B32" s="10" t="n">
        <v>2021</v>
      </c>
      <c r="C32" s="11" t="n">
        <v>26</v>
      </c>
      <c r="D32" s="11" t="n">
        <v>72.73</v>
      </c>
      <c r="F32" s="11" t="n">
        <v>10</v>
      </c>
      <c r="G32" s="10" t="n">
        <v>10</v>
      </c>
      <c r="H32" s="11" t="n">
        <v>36.67</v>
      </c>
      <c r="I32" s="12" t="n">
        <v>3.667</v>
      </c>
      <c r="J32" s="11" t="n">
        <v>220.04</v>
      </c>
      <c r="K32" s="11" t="n">
        <v>611.35</v>
      </c>
    </row>
    <row r="33">
      <c r="A33" s="10" t="n">
        <v>9</v>
      </c>
      <c r="B33" s="10" t="n">
        <v>2024</v>
      </c>
      <c r="C33" s="11" t="n">
        <v>26</v>
      </c>
      <c r="D33" s="11" t="n">
        <v>81.81999999999999</v>
      </c>
      <c r="F33" s="11" t="n">
        <v>20</v>
      </c>
      <c r="G33" s="10" t="n">
        <v>5</v>
      </c>
      <c r="H33" s="11" t="n">
        <v>34.03</v>
      </c>
      <c r="I33" s="12" t="n">
        <v>3.403</v>
      </c>
      <c r="J33" s="11" t="n">
        <v>204.19</v>
      </c>
      <c r="K33" s="11" t="n">
        <v>567.3099999999999</v>
      </c>
    </row>
    <row r="34">
      <c r="A34" s="10" t="n">
        <v>10</v>
      </c>
      <c r="B34" s="10" t="n">
        <v>2025</v>
      </c>
      <c r="C34" s="11" t="n">
        <v>24.1</v>
      </c>
      <c r="D34" s="11" t="n">
        <v>90.91</v>
      </c>
      <c r="F34" s="11" t="n">
        <v>25</v>
      </c>
      <c r="G34" s="10" t="n">
        <v>4</v>
      </c>
      <c r="H34" s="11" t="n">
        <v>33.1</v>
      </c>
      <c r="I34" s="12" t="n">
        <v>3.31</v>
      </c>
      <c r="J34" s="11" t="n">
        <v>198.58</v>
      </c>
      <c r="K34" s="11" t="n">
        <v>551.72</v>
      </c>
    </row>
    <row r="35">
      <c r="F35" s="11" t="n">
        <v>33.3</v>
      </c>
      <c r="G35" s="10" t="n">
        <v>3</v>
      </c>
      <c r="H35" s="11" t="n">
        <v>31.8</v>
      </c>
      <c r="I35" s="12" t="n">
        <v>3.18</v>
      </c>
      <c r="J35" s="11" t="n">
        <v>190.82</v>
      </c>
      <c r="K35" s="11" t="n">
        <v>530.16</v>
      </c>
    </row>
    <row r="36">
      <c r="F36" s="11" t="n">
        <v>50</v>
      </c>
      <c r="G36" s="10" t="n">
        <v>2</v>
      </c>
      <c r="H36" s="11" t="n">
        <v>29.69</v>
      </c>
      <c r="I36" s="12" t="n">
        <v>2.969</v>
      </c>
      <c r="J36" s="11" t="n">
        <v>178.15</v>
      </c>
      <c r="K36" s="11" t="n">
        <v>494.97</v>
      </c>
    </row>
    <row r="37">
      <c r="F37" s="11" t="n">
        <v>75</v>
      </c>
      <c r="G37" s="10" t="n">
        <v>1.3</v>
      </c>
      <c r="H37" s="11" t="n">
        <v>26.85</v>
      </c>
      <c r="I37" s="12" t="n">
        <v>2.685</v>
      </c>
      <c r="J37" s="11" t="n">
        <v>161.11</v>
      </c>
      <c r="K37" s="11" t="n">
        <v>447.63</v>
      </c>
    </row>
    <row r="38">
      <c r="F38" s="11" t="n">
        <v>90</v>
      </c>
      <c r="G38" s="10" t="n">
        <v>1.1</v>
      </c>
      <c r="H38" s="11" t="n">
        <v>24.74</v>
      </c>
      <c r="I38" s="12" t="n">
        <v>2.474</v>
      </c>
      <c r="J38" s="11" t="n">
        <v>148.47</v>
      </c>
      <c r="K38" s="11" t="n">
        <v>412.5</v>
      </c>
    </row>
    <row r="39">
      <c r="F39" s="11" t="n">
        <v>95</v>
      </c>
      <c r="G39" s="10" t="n">
        <v>1.1</v>
      </c>
      <c r="H39" s="11" t="n">
        <v>23.67</v>
      </c>
      <c r="I39" s="12" t="n">
        <v>2.367</v>
      </c>
      <c r="J39" s="11" t="n">
        <v>142.03</v>
      </c>
      <c r="K39" s="11" t="n">
        <v>394.61</v>
      </c>
    </row>
    <row r="42">
      <c r="A42" s="7" t="inlineStr">
        <is>
          <t>PHÂN TÍCH TẦN SUẤT THỜI ĐOẠN 15 PHÚT (X_tb=39.70mm, Cv=0.178, Cs=0.891)</t>
        </is>
      </c>
    </row>
    <row r="43">
      <c r="A43" s="8" t="inlineStr">
        <is>
          <t>Bảng Tần Suất Kinh Nghiệm (Weibull)</t>
        </is>
      </c>
      <c r="F43" s="8" t="inlineStr">
        <is>
          <t>Bảng Tần Suất Lý Luận (Pearson III)</t>
        </is>
      </c>
    </row>
    <row r="44">
      <c r="A44" s="9" t="inlineStr">
        <is>
          <t>Hạng (m)</t>
        </is>
      </c>
      <c r="B44" s="9" t="inlineStr">
        <is>
          <t>Năm</t>
        </is>
      </c>
      <c r="C44" s="9" t="inlineStr">
        <is>
          <t>H (mm)</t>
        </is>
      </c>
      <c r="D44" s="9" t="inlineStr">
        <is>
          <t>P_kinh_nghiệm (%)</t>
        </is>
      </c>
      <c r="F44" s="9" t="inlineStr">
        <is>
          <t>Tần suất P (%)</t>
        </is>
      </c>
      <c r="G44" s="9" t="inlineStr">
        <is>
          <t>Chu kỳ T (năm)</t>
        </is>
      </c>
      <c r="H44" s="9" t="inlineStr">
        <is>
          <t>H_p (mm)</t>
        </is>
      </c>
      <c r="I44" s="9" t="inlineStr">
        <is>
          <t>I (mm/phút)</t>
        </is>
      </c>
      <c r="J44" s="9" t="inlineStr">
        <is>
          <t>I (mm/h)</t>
        </is>
      </c>
      <c r="K44" s="9" t="inlineStr">
        <is>
          <t>q (l/s.ha)</t>
        </is>
      </c>
    </row>
    <row r="45">
      <c r="A45" s="10" t="n">
        <v>1</v>
      </c>
      <c r="B45" s="10" t="n">
        <v>2016</v>
      </c>
      <c r="C45" s="11" t="n">
        <v>51</v>
      </c>
      <c r="D45" s="11" t="n">
        <v>9.09</v>
      </c>
      <c r="F45" s="11" t="n">
        <v>0.1</v>
      </c>
      <c r="G45" s="10" t="n">
        <v>1000</v>
      </c>
      <c r="H45" s="11" t="n">
        <v>70.67</v>
      </c>
      <c r="I45" s="12" t="n">
        <v>4.711</v>
      </c>
      <c r="J45" s="11" t="n">
        <v>282.68</v>
      </c>
      <c r="K45" s="11" t="n">
        <v>785.39</v>
      </c>
    </row>
    <row r="46">
      <c r="A46" s="10" t="n">
        <v>2</v>
      </c>
      <c r="B46" s="10" t="n">
        <v>2018</v>
      </c>
      <c r="C46" s="11" t="n">
        <v>46.8</v>
      </c>
      <c r="D46" s="11" t="n">
        <v>18.18</v>
      </c>
      <c r="F46" s="11" t="n">
        <v>0.5</v>
      </c>
      <c r="G46" s="10" t="n">
        <v>200</v>
      </c>
      <c r="H46" s="11" t="n">
        <v>63.72</v>
      </c>
      <c r="I46" s="12" t="n">
        <v>4.248</v>
      </c>
      <c r="J46" s="11" t="n">
        <v>254.87</v>
      </c>
      <c r="K46" s="11" t="n">
        <v>708.13</v>
      </c>
    </row>
    <row r="47">
      <c r="A47" s="10" t="n">
        <v>3</v>
      </c>
      <c r="B47" s="10" t="n">
        <v>2020</v>
      </c>
      <c r="C47" s="11" t="n">
        <v>46.5</v>
      </c>
      <c r="D47" s="11" t="n">
        <v>27.27</v>
      </c>
      <c r="F47" s="11" t="n">
        <v>1</v>
      </c>
      <c r="G47" s="10" t="n">
        <v>100</v>
      </c>
      <c r="H47" s="11" t="n">
        <v>60.59</v>
      </c>
      <c r="I47" s="12" t="n">
        <v>4.039</v>
      </c>
      <c r="J47" s="11" t="n">
        <v>242.37</v>
      </c>
      <c r="K47" s="11" t="n">
        <v>673.37</v>
      </c>
    </row>
    <row r="48">
      <c r="A48" s="10" t="n">
        <v>4</v>
      </c>
      <c r="B48" s="10" t="n">
        <v>2017</v>
      </c>
      <c r="C48" s="11" t="n">
        <v>42.1</v>
      </c>
      <c r="D48" s="11" t="n">
        <v>36.36</v>
      </c>
      <c r="F48" s="11" t="n">
        <v>2</v>
      </c>
      <c r="G48" s="10" t="n">
        <v>50</v>
      </c>
      <c r="H48" s="11" t="n">
        <v>57.35</v>
      </c>
      <c r="I48" s="12" t="n">
        <v>3.824</v>
      </c>
      <c r="J48" s="11" t="n">
        <v>229.42</v>
      </c>
      <c r="K48" s="11" t="n">
        <v>637.39</v>
      </c>
    </row>
    <row r="49">
      <c r="A49" s="10" t="n">
        <v>5</v>
      </c>
      <c r="B49" s="10" t="n">
        <v>2022</v>
      </c>
      <c r="C49" s="11" t="n">
        <v>41</v>
      </c>
      <c r="D49" s="11" t="n">
        <v>45.45</v>
      </c>
      <c r="F49" s="11" t="n">
        <v>3</v>
      </c>
      <c r="G49" s="10" t="n">
        <v>33.3</v>
      </c>
      <c r="H49" s="11" t="n">
        <v>55.4</v>
      </c>
      <c r="I49" s="12" t="n">
        <v>3.693</v>
      </c>
      <c r="J49" s="11" t="n">
        <v>221.58</v>
      </c>
      <c r="K49" s="11" t="n">
        <v>615.63</v>
      </c>
    </row>
    <row r="50">
      <c r="A50" s="10" t="n">
        <v>6</v>
      </c>
      <c r="B50" s="10" t="n">
        <v>2023</v>
      </c>
      <c r="C50" s="11" t="n">
        <v>38.1</v>
      </c>
      <c r="D50" s="11" t="n">
        <v>54.55</v>
      </c>
      <c r="F50" s="11" t="n">
        <v>4</v>
      </c>
      <c r="G50" s="10" t="n">
        <v>25</v>
      </c>
      <c r="H50" s="11" t="n">
        <v>53.97</v>
      </c>
      <c r="I50" s="12" t="n">
        <v>3.598</v>
      </c>
      <c r="J50" s="11" t="n">
        <v>215.89</v>
      </c>
      <c r="K50" s="11" t="n">
        <v>599.8</v>
      </c>
    </row>
    <row r="51">
      <c r="A51" s="10" t="n">
        <v>7</v>
      </c>
      <c r="B51" s="10" t="n">
        <v>2019</v>
      </c>
      <c r="C51" s="11" t="n">
        <v>36.5</v>
      </c>
      <c r="D51" s="11" t="n">
        <v>63.64</v>
      </c>
      <c r="F51" s="11" t="n">
        <v>5</v>
      </c>
      <c r="G51" s="10" t="n">
        <v>20</v>
      </c>
      <c r="H51" s="11" t="n">
        <v>52.84</v>
      </c>
      <c r="I51" s="12" t="n">
        <v>3.523</v>
      </c>
      <c r="J51" s="11" t="n">
        <v>211.37</v>
      </c>
      <c r="K51" s="11" t="n">
        <v>587.26</v>
      </c>
    </row>
    <row r="52">
      <c r="A52" s="10" t="n">
        <v>8</v>
      </c>
      <c r="B52" s="10" t="n">
        <v>2021</v>
      </c>
      <c r="C52" s="11" t="n">
        <v>34</v>
      </c>
      <c r="D52" s="11" t="n">
        <v>72.73</v>
      </c>
      <c r="F52" s="11" t="n">
        <v>10</v>
      </c>
      <c r="G52" s="10" t="n">
        <v>10</v>
      </c>
      <c r="H52" s="11" t="n">
        <v>49.18</v>
      </c>
      <c r="I52" s="12" t="n">
        <v>3.278</v>
      </c>
      <c r="J52" s="11" t="n">
        <v>196.7</v>
      </c>
      <c r="K52" s="11" t="n">
        <v>546.5</v>
      </c>
    </row>
    <row r="53">
      <c r="A53" s="10" t="n">
        <v>9</v>
      </c>
      <c r="B53" s="10" t="n">
        <v>2025</v>
      </c>
      <c r="C53" s="11" t="n">
        <v>32</v>
      </c>
      <c r="D53" s="11" t="n">
        <v>81.81999999999999</v>
      </c>
      <c r="F53" s="11" t="n">
        <v>20</v>
      </c>
      <c r="G53" s="10" t="n">
        <v>5</v>
      </c>
      <c r="H53" s="11" t="n">
        <v>45.15</v>
      </c>
      <c r="I53" s="12" t="n">
        <v>3.01</v>
      </c>
      <c r="J53" s="11" t="n">
        <v>180.6</v>
      </c>
      <c r="K53" s="11" t="n">
        <v>501.76</v>
      </c>
    </row>
    <row r="54">
      <c r="A54" s="10" t="n">
        <v>10</v>
      </c>
      <c r="B54" s="10" t="n">
        <v>2024</v>
      </c>
      <c r="C54" s="11" t="n">
        <v>29</v>
      </c>
      <c r="D54" s="11" t="n">
        <v>90.91</v>
      </c>
      <c r="F54" s="11" t="n">
        <v>25</v>
      </c>
      <c r="G54" s="10" t="n">
        <v>4</v>
      </c>
      <c r="H54" s="11" t="n">
        <v>43.74</v>
      </c>
      <c r="I54" s="12" t="n">
        <v>2.916</v>
      </c>
      <c r="J54" s="11" t="n">
        <v>174.95</v>
      </c>
      <c r="K54" s="11" t="n">
        <v>486.06</v>
      </c>
    </row>
    <row r="55">
      <c r="F55" s="11" t="n">
        <v>33.3</v>
      </c>
      <c r="G55" s="10" t="n">
        <v>3</v>
      </c>
      <c r="H55" s="11" t="n">
        <v>41.8</v>
      </c>
      <c r="I55" s="12" t="n">
        <v>2.786</v>
      </c>
      <c r="J55" s="11" t="n">
        <v>167.18</v>
      </c>
      <c r="K55" s="11" t="n">
        <v>464.49</v>
      </c>
    </row>
    <row r="56">
      <c r="F56" s="11" t="n">
        <v>50</v>
      </c>
      <c r="G56" s="10" t="n">
        <v>2</v>
      </c>
      <c r="H56" s="11" t="n">
        <v>38.66</v>
      </c>
      <c r="I56" s="12" t="n">
        <v>2.577</v>
      </c>
      <c r="J56" s="11" t="n">
        <v>154.65</v>
      </c>
      <c r="K56" s="11" t="n">
        <v>429.66</v>
      </c>
    </row>
    <row r="57">
      <c r="F57" s="11" t="n">
        <v>75</v>
      </c>
      <c r="G57" s="10" t="n">
        <v>1.3</v>
      </c>
      <c r="H57" s="11" t="n">
        <v>34.54</v>
      </c>
      <c r="I57" s="12" t="n">
        <v>2.302</v>
      </c>
      <c r="J57" s="11" t="n">
        <v>138.15</v>
      </c>
      <c r="K57" s="11" t="n">
        <v>383.82</v>
      </c>
    </row>
    <row r="58">
      <c r="F58" s="11" t="n">
        <v>90</v>
      </c>
      <c r="G58" s="10" t="n">
        <v>1.1</v>
      </c>
      <c r="H58" s="11" t="n">
        <v>31.57</v>
      </c>
      <c r="I58" s="12" t="n">
        <v>2.105</v>
      </c>
      <c r="J58" s="11" t="n">
        <v>126.28</v>
      </c>
      <c r="K58" s="11" t="n">
        <v>350.84</v>
      </c>
    </row>
    <row r="59">
      <c r="F59" s="11" t="n">
        <v>95</v>
      </c>
      <c r="G59" s="10" t="n">
        <v>1.1</v>
      </c>
      <c r="H59" s="11" t="n">
        <v>30.1</v>
      </c>
      <c r="I59" s="12" t="n">
        <v>2.007</v>
      </c>
      <c r="J59" s="11" t="n">
        <v>120.41</v>
      </c>
      <c r="K59" s="11" t="n">
        <v>334.53</v>
      </c>
    </row>
    <row r="62">
      <c r="A62" s="7" t="inlineStr">
        <is>
          <t>PHÂN TÍCH TẦN SUẤT THỜI ĐOẠN 20 PHÚT (X_tb=48.72mm, Cv=0.174, Cs=0.869)</t>
        </is>
      </c>
    </row>
    <row r="63">
      <c r="A63" s="8" t="inlineStr">
        <is>
          <t>Bảng Tần Suất Kinh Nghiệm (Weibull)</t>
        </is>
      </c>
      <c r="F63" s="8" t="inlineStr">
        <is>
          <t>Bảng Tần Suất Lý Luận (Pearson III)</t>
        </is>
      </c>
    </row>
    <row r="64">
      <c r="A64" s="9" t="inlineStr">
        <is>
          <t>Hạng (m)</t>
        </is>
      </c>
      <c r="B64" s="9" t="inlineStr">
        <is>
          <t>Năm</t>
        </is>
      </c>
      <c r="C64" s="9" t="inlineStr">
        <is>
          <t>H (mm)</t>
        </is>
      </c>
      <c r="D64" s="9" t="inlineStr">
        <is>
          <t>P_kinh_nghiệm (%)</t>
        </is>
      </c>
      <c r="F64" s="9" t="inlineStr">
        <is>
          <t>Tần suất P (%)</t>
        </is>
      </c>
      <c r="G64" s="9" t="inlineStr">
        <is>
          <t>Chu kỳ T (năm)</t>
        </is>
      </c>
      <c r="H64" s="9" t="inlineStr">
        <is>
          <t>H_p (mm)</t>
        </is>
      </c>
      <c r="I64" s="9" t="inlineStr">
        <is>
          <t>I (mm/phút)</t>
        </is>
      </c>
      <c r="J64" s="9" t="inlineStr">
        <is>
          <t>I (mm/h)</t>
        </is>
      </c>
      <c r="K64" s="9" t="inlineStr">
        <is>
          <t>q (l/s.ha)</t>
        </is>
      </c>
    </row>
    <row r="65">
      <c r="A65" s="10" t="n">
        <v>1</v>
      </c>
      <c r="B65" s="10" t="n">
        <v>2016</v>
      </c>
      <c r="C65" s="11" t="n">
        <v>64</v>
      </c>
      <c r="D65" s="11" t="n">
        <v>9.09</v>
      </c>
      <c r="F65" s="11" t="n">
        <v>0.1</v>
      </c>
      <c r="G65" s="10" t="n">
        <v>1000</v>
      </c>
      <c r="H65" s="11" t="n">
        <v>85.5</v>
      </c>
      <c r="I65" s="12" t="n">
        <v>4.275</v>
      </c>
      <c r="J65" s="11" t="n">
        <v>256.51</v>
      </c>
      <c r="K65" s="11" t="n">
        <v>712.66</v>
      </c>
    </row>
    <row r="66">
      <c r="A66" s="10" t="n">
        <v>2</v>
      </c>
      <c r="B66" s="10" t="n">
        <v>2018</v>
      </c>
      <c r="C66" s="11" t="n">
        <v>56.5</v>
      </c>
      <c r="D66" s="11" t="n">
        <v>18.18</v>
      </c>
      <c r="F66" s="11" t="n">
        <v>0.5</v>
      </c>
      <c r="G66" s="10" t="n">
        <v>200</v>
      </c>
      <c r="H66" s="11" t="n">
        <v>77.29000000000001</v>
      </c>
      <c r="I66" s="12" t="n">
        <v>3.864</v>
      </c>
      <c r="J66" s="11" t="n">
        <v>231.87</v>
      </c>
      <c r="K66" s="11" t="n">
        <v>644.2</v>
      </c>
    </row>
    <row r="67">
      <c r="A67" s="10" t="n">
        <v>3</v>
      </c>
      <c r="B67" s="10" t="n">
        <v>2020</v>
      </c>
      <c r="C67" s="11" t="n">
        <v>55.6</v>
      </c>
      <c r="D67" s="11" t="n">
        <v>27.27</v>
      </c>
      <c r="F67" s="11" t="n">
        <v>1</v>
      </c>
      <c r="G67" s="10" t="n">
        <v>100</v>
      </c>
      <c r="H67" s="11" t="n">
        <v>73.59</v>
      </c>
      <c r="I67" s="12" t="n">
        <v>3.679</v>
      </c>
      <c r="J67" s="11" t="n">
        <v>220.77</v>
      </c>
      <c r="K67" s="11" t="n">
        <v>613.37</v>
      </c>
    </row>
    <row r="68">
      <c r="A68" s="10" t="n">
        <v>4</v>
      </c>
      <c r="B68" s="10" t="n">
        <v>2017</v>
      </c>
      <c r="C68" s="11" t="n">
        <v>51.5</v>
      </c>
      <c r="D68" s="11" t="n">
        <v>36.36</v>
      </c>
      <c r="F68" s="11" t="n">
        <v>2</v>
      </c>
      <c r="G68" s="10" t="n">
        <v>50</v>
      </c>
      <c r="H68" s="11" t="n">
        <v>69.76000000000001</v>
      </c>
      <c r="I68" s="12" t="n">
        <v>3.488</v>
      </c>
      <c r="J68" s="11" t="n">
        <v>209.27</v>
      </c>
      <c r="K68" s="11" t="n">
        <v>581.42</v>
      </c>
    </row>
    <row r="69">
      <c r="A69" s="10" t="n">
        <v>5</v>
      </c>
      <c r="B69" s="10" t="n">
        <v>2022</v>
      </c>
      <c r="C69" s="11" t="n">
        <v>49</v>
      </c>
      <c r="D69" s="11" t="n">
        <v>45.45</v>
      </c>
      <c r="F69" s="11" t="n">
        <v>3</v>
      </c>
      <c r="G69" s="10" t="n">
        <v>33.3</v>
      </c>
      <c r="H69" s="11" t="n">
        <v>67.44</v>
      </c>
      <c r="I69" s="12" t="n">
        <v>3.372</v>
      </c>
      <c r="J69" s="11" t="n">
        <v>202.31</v>
      </c>
      <c r="K69" s="11" t="n">
        <v>562.08</v>
      </c>
    </row>
    <row r="70">
      <c r="A70" s="10" t="n">
        <v>6</v>
      </c>
      <c r="B70" s="10" t="n">
        <v>2023</v>
      </c>
      <c r="C70" s="11" t="n">
        <v>48.5</v>
      </c>
      <c r="D70" s="11" t="n">
        <v>54.55</v>
      </c>
      <c r="F70" s="11" t="n">
        <v>4</v>
      </c>
      <c r="G70" s="10" t="n">
        <v>25</v>
      </c>
      <c r="H70" s="11" t="n">
        <v>65.75</v>
      </c>
      <c r="I70" s="12" t="n">
        <v>3.287</v>
      </c>
      <c r="J70" s="11" t="n">
        <v>197.24</v>
      </c>
      <c r="K70" s="11" t="n">
        <v>548</v>
      </c>
    </row>
    <row r="71">
      <c r="A71" s="10" t="n">
        <v>7</v>
      </c>
      <c r="B71" s="10" t="n">
        <v>2021</v>
      </c>
      <c r="C71" s="11" t="n">
        <v>43.8</v>
      </c>
      <c r="D71" s="11" t="n">
        <v>63.64</v>
      </c>
      <c r="F71" s="11" t="n">
        <v>5</v>
      </c>
      <c r="G71" s="10" t="n">
        <v>20</v>
      </c>
      <c r="H71" s="11" t="n">
        <v>64.41</v>
      </c>
      <c r="I71" s="12" t="n">
        <v>3.22</v>
      </c>
      <c r="J71" s="11" t="n">
        <v>193.23</v>
      </c>
      <c r="K71" s="11" t="n">
        <v>536.84</v>
      </c>
    </row>
    <row r="72">
      <c r="A72" s="10" t="n">
        <v>8</v>
      </c>
      <c r="B72" s="10" t="n">
        <v>2025</v>
      </c>
      <c r="C72" s="11" t="n">
        <v>41.3</v>
      </c>
      <c r="D72" s="11" t="n">
        <v>72.73</v>
      </c>
      <c r="F72" s="11" t="n">
        <v>10</v>
      </c>
      <c r="G72" s="10" t="n">
        <v>10</v>
      </c>
      <c r="H72" s="11" t="n">
        <v>60.05</v>
      </c>
      <c r="I72" s="12" t="n">
        <v>3.003</v>
      </c>
      <c r="J72" s="11" t="n">
        <v>180.16</v>
      </c>
      <c r="K72" s="11" t="n">
        <v>500.53</v>
      </c>
    </row>
    <row r="73">
      <c r="A73" s="10" t="n">
        <v>9</v>
      </c>
      <c r="B73" s="10" t="n">
        <v>2019</v>
      </c>
      <c r="C73" s="11" t="n">
        <v>40.5</v>
      </c>
      <c r="D73" s="11" t="n">
        <v>81.81999999999999</v>
      </c>
      <c r="F73" s="11" t="n">
        <v>20</v>
      </c>
      <c r="G73" s="10" t="n">
        <v>5</v>
      </c>
      <c r="H73" s="11" t="n">
        <v>55.26</v>
      </c>
      <c r="I73" s="12" t="n">
        <v>2.763</v>
      </c>
      <c r="J73" s="11" t="n">
        <v>165.78</v>
      </c>
      <c r="K73" s="11" t="n">
        <v>460.6</v>
      </c>
    </row>
    <row r="74">
      <c r="A74" s="10" t="n">
        <v>10</v>
      </c>
      <c r="B74" s="10" t="n">
        <v>2024</v>
      </c>
      <c r="C74" s="11" t="n">
        <v>36.5</v>
      </c>
      <c r="D74" s="11" t="n">
        <v>90.91</v>
      </c>
      <c r="F74" s="11" t="n">
        <v>25</v>
      </c>
      <c r="G74" s="10" t="n">
        <v>4</v>
      </c>
      <c r="H74" s="11" t="n">
        <v>53.58</v>
      </c>
      <c r="I74" s="12" t="n">
        <v>2.679</v>
      </c>
      <c r="J74" s="11" t="n">
        <v>160.73</v>
      </c>
      <c r="K74" s="11" t="n">
        <v>446.56</v>
      </c>
    </row>
    <row r="75">
      <c r="F75" s="11" t="n">
        <v>33.3</v>
      </c>
      <c r="G75" s="10" t="n">
        <v>3</v>
      </c>
      <c r="H75" s="11" t="n">
        <v>51.26</v>
      </c>
      <c r="I75" s="12" t="n">
        <v>2.563</v>
      </c>
      <c r="J75" s="11" t="n">
        <v>153.78</v>
      </c>
      <c r="K75" s="11" t="n">
        <v>427.24</v>
      </c>
    </row>
    <row r="76">
      <c r="F76" s="11" t="n">
        <v>50</v>
      </c>
      <c r="G76" s="10" t="n">
        <v>2</v>
      </c>
      <c r="H76" s="11" t="n">
        <v>47.51</v>
      </c>
      <c r="I76" s="12" t="n">
        <v>2.375</v>
      </c>
      <c r="J76" s="11" t="n">
        <v>142.52</v>
      </c>
      <c r="K76" s="11" t="n">
        <v>395.98</v>
      </c>
    </row>
    <row r="77">
      <c r="F77" s="11" t="n">
        <v>75</v>
      </c>
      <c r="G77" s="10" t="n">
        <v>1.3</v>
      </c>
      <c r="H77" s="11" t="n">
        <v>42.55</v>
      </c>
      <c r="I77" s="12" t="n">
        <v>2.127</v>
      </c>
      <c r="J77" s="11" t="n">
        <v>127.65</v>
      </c>
      <c r="K77" s="11" t="n">
        <v>354.64</v>
      </c>
    </row>
    <row r="78">
      <c r="F78" s="11" t="n">
        <v>90</v>
      </c>
      <c r="G78" s="10" t="n">
        <v>1.1</v>
      </c>
      <c r="H78" s="11" t="n">
        <v>38.96</v>
      </c>
      <c r="I78" s="12" t="n">
        <v>1.948</v>
      </c>
      <c r="J78" s="11" t="n">
        <v>116.87</v>
      </c>
      <c r="K78" s="11" t="n">
        <v>324.7</v>
      </c>
    </row>
    <row r="79">
      <c r="F79" s="11" t="n">
        <v>95</v>
      </c>
      <c r="G79" s="10" t="n">
        <v>1.1</v>
      </c>
      <c r="H79" s="11" t="n">
        <v>37.17</v>
      </c>
      <c r="I79" s="12" t="n">
        <v>1.858</v>
      </c>
      <c r="J79" s="11" t="n">
        <v>111.51</v>
      </c>
      <c r="K79" s="11" t="n">
        <v>309.8</v>
      </c>
    </row>
    <row r="82">
      <c r="A82" s="7" t="inlineStr">
        <is>
          <t>PHÂN TÍCH TẦN SUẤT THỜI ĐOẠN 30 PHÚT (X_tb=65.62mm, Cv=0.181, Cs=0.903)</t>
        </is>
      </c>
    </row>
    <row r="83">
      <c r="A83" s="8" t="inlineStr">
        <is>
          <t>Bảng Tần Suất Kinh Nghiệm (Weibull)</t>
        </is>
      </c>
      <c r="F83" s="8" t="inlineStr">
        <is>
          <t>Bảng Tần Suất Lý Luận (Pearson III)</t>
        </is>
      </c>
    </row>
    <row r="84">
      <c r="A84" s="9" t="inlineStr">
        <is>
          <t>Hạng (m)</t>
        </is>
      </c>
      <c r="B84" s="9" t="inlineStr">
        <is>
          <t>Năm</t>
        </is>
      </c>
      <c r="C84" s="9" t="inlineStr">
        <is>
          <t>H (mm)</t>
        </is>
      </c>
      <c r="D84" s="9" t="inlineStr">
        <is>
          <t>P_kinh_nghiệm (%)</t>
        </is>
      </c>
      <c r="F84" s="9" t="inlineStr">
        <is>
          <t>Tần suất P (%)</t>
        </is>
      </c>
      <c r="G84" s="9" t="inlineStr">
        <is>
          <t>Chu kỳ T (năm)</t>
        </is>
      </c>
      <c r="H84" s="9" t="inlineStr">
        <is>
          <t>H_p (mm)</t>
        </is>
      </c>
      <c r="I84" s="9" t="inlineStr">
        <is>
          <t>I (mm/phút)</t>
        </is>
      </c>
      <c r="J84" s="9" t="inlineStr">
        <is>
          <t>I (mm/h)</t>
        </is>
      </c>
      <c r="K84" s="9" t="inlineStr">
        <is>
          <t>q (l/s.ha)</t>
        </is>
      </c>
    </row>
    <row r="85">
      <c r="A85" s="10" t="n">
        <v>1</v>
      </c>
      <c r="B85" s="10" t="n">
        <v>2016</v>
      </c>
      <c r="C85" s="11" t="n">
        <v>83</v>
      </c>
      <c r="D85" s="11" t="n">
        <v>9.09</v>
      </c>
      <c r="F85" s="11" t="n">
        <v>0.1</v>
      </c>
      <c r="G85" s="10" t="n">
        <v>1000</v>
      </c>
      <c r="H85" s="11" t="n">
        <v>117.71</v>
      </c>
      <c r="I85" s="12" t="n">
        <v>3.924</v>
      </c>
      <c r="J85" s="11" t="n">
        <v>235.41</v>
      </c>
      <c r="K85" s="11" t="n">
        <v>654.0599999999999</v>
      </c>
    </row>
    <row r="86">
      <c r="A86" s="10" t="n">
        <v>2</v>
      </c>
      <c r="B86" s="10" t="n">
        <v>2020</v>
      </c>
      <c r="C86" s="11" t="n">
        <v>81</v>
      </c>
      <c r="D86" s="11" t="n">
        <v>18.18</v>
      </c>
      <c r="F86" s="11" t="n">
        <v>0.5</v>
      </c>
      <c r="G86" s="10" t="n">
        <v>200</v>
      </c>
      <c r="H86" s="11" t="n">
        <v>105.98</v>
      </c>
      <c r="I86" s="12" t="n">
        <v>3.533</v>
      </c>
      <c r="J86" s="11" t="n">
        <v>211.96</v>
      </c>
      <c r="K86" s="11" t="n">
        <v>588.91</v>
      </c>
    </row>
    <row r="87">
      <c r="A87" s="10" t="n">
        <v>3</v>
      </c>
      <c r="B87" s="10" t="n">
        <v>2018</v>
      </c>
      <c r="C87" s="11" t="n">
        <v>74.5</v>
      </c>
      <c r="D87" s="11" t="n">
        <v>27.27</v>
      </c>
      <c r="F87" s="11" t="n">
        <v>1</v>
      </c>
      <c r="G87" s="10" t="n">
        <v>100</v>
      </c>
      <c r="H87" s="11" t="n">
        <v>100.71</v>
      </c>
      <c r="I87" s="12" t="n">
        <v>3.357</v>
      </c>
      <c r="J87" s="11" t="n">
        <v>201.42</v>
      </c>
      <c r="K87" s="11" t="n">
        <v>559.62</v>
      </c>
    </row>
    <row r="88">
      <c r="A88" s="10" t="n">
        <v>4</v>
      </c>
      <c r="B88" s="10" t="n">
        <v>2023</v>
      </c>
      <c r="C88" s="11" t="n">
        <v>71.8</v>
      </c>
      <c r="D88" s="11" t="n">
        <v>36.36</v>
      </c>
      <c r="F88" s="11" t="n">
        <v>2</v>
      </c>
      <c r="G88" s="10" t="n">
        <v>50</v>
      </c>
      <c r="H88" s="11" t="n">
        <v>95.26000000000001</v>
      </c>
      <c r="I88" s="12" t="n">
        <v>3.175</v>
      </c>
      <c r="J88" s="11" t="n">
        <v>190.52</v>
      </c>
      <c r="K88" s="11" t="n">
        <v>529.3200000000001</v>
      </c>
    </row>
    <row r="89">
      <c r="A89" s="10" t="n">
        <v>5</v>
      </c>
      <c r="B89" s="10" t="n">
        <v>2022</v>
      </c>
      <c r="C89" s="11" t="n">
        <v>64</v>
      </c>
      <c r="D89" s="11" t="n">
        <v>45.45</v>
      </c>
      <c r="F89" s="11" t="n">
        <v>3</v>
      </c>
      <c r="G89" s="10" t="n">
        <v>33.3</v>
      </c>
      <c r="H89" s="11" t="n">
        <v>91.95999999999999</v>
      </c>
      <c r="I89" s="12" t="n">
        <v>3.065</v>
      </c>
      <c r="J89" s="11" t="n">
        <v>183.92</v>
      </c>
      <c r="K89" s="11" t="n">
        <v>510.99</v>
      </c>
    </row>
    <row r="90">
      <c r="A90" s="10" t="n">
        <v>6</v>
      </c>
      <c r="B90" s="10" t="n">
        <v>2017</v>
      </c>
      <c r="C90" s="11" t="n">
        <v>63</v>
      </c>
      <c r="D90" s="11" t="n">
        <v>54.55</v>
      </c>
      <c r="F90" s="11" t="n">
        <v>4</v>
      </c>
      <c r="G90" s="10" t="n">
        <v>25</v>
      </c>
      <c r="H90" s="11" t="n">
        <v>89.56</v>
      </c>
      <c r="I90" s="12" t="n">
        <v>2.985</v>
      </c>
      <c r="J90" s="11" t="n">
        <v>179.13</v>
      </c>
      <c r="K90" s="11" t="n">
        <v>497.67</v>
      </c>
    </row>
    <row r="91">
      <c r="A91" s="10" t="n">
        <v>7</v>
      </c>
      <c r="B91" s="10" t="n">
        <v>2021</v>
      </c>
      <c r="C91" s="11" t="n">
        <v>61.5</v>
      </c>
      <c r="D91" s="11" t="n">
        <v>63.64</v>
      </c>
      <c r="F91" s="11" t="n">
        <v>5</v>
      </c>
      <c r="G91" s="10" t="n">
        <v>20</v>
      </c>
      <c r="H91" s="11" t="n">
        <v>87.66</v>
      </c>
      <c r="I91" s="12" t="n">
        <v>2.922</v>
      </c>
      <c r="J91" s="11" t="n">
        <v>175.33</v>
      </c>
      <c r="K91" s="11" t="n">
        <v>487.12</v>
      </c>
    </row>
    <row r="92">
      <c r="A92" s="10" t="n">
        <v>8</v>
      </c>
      <c r="B92" s="10" t="n">
        <v>2019</v>
      </c>
      <c r="C92" s="11" t="n">
        <v>59</v>
      </c>
      <c r="D92" s="11" t="n">
        <v>72.73</v>
      </c>
      <c r="F92" s="11" t="n">
        <v>10</v>
      </c>
      <c r="G92" s="10" t="n">
        <v>10</v>
      </c>
      <c r="H92" s="11" t="n">
        <v>81.5</v>
      </c>
      <c r="I92" s="12" t="n">
        <v>2.717</v>
      </c>
      <c r="J92" s="11" t="n">
        <v>162.99</v>
      </c>
      <c r="K92" s="11" t="n">
        <v>452.84</v>
      </c>
    </row>
    <row r="93">
      <c r="A93" s="10" t="n">
        <v>9</v>
      </c>
      <c r="B93" s="10" t="n">
        <v>2025</v>
      </c>
      <c r="C93" s="11" t="n">
        <v>49.4</v>
      </c>
      <c r="D93" s="11" t="n">
        <v>81.81999999999999</v>
      </c>
      <c r="F93" s="11" t="n">
        <v>20</v>
      </c>
      <c r="G93" s="10" t="n">
        <v>5</v>
      </c>
      <c r="H93" s="11" t="n">
        <v>74.73</v>
      </c>
      <c r="I93" s="12" t="n">
        <v>2.491</v>
      </c>
      <c r="J93" s="11" t="n">
        <v>149.47</v>
      </c>
      <c r="K93" s="11" t="n">
        <v>415.27</v>
      </c>
    </row>
    <row r="94">
      <c r="A94" s="10" t="n">
        <v>10</v>
      </c>
      <c r="B94" s="10" t="n">
        <v>2024</v>
      </c>
      <c r="C94" s="11" t="n">
        <v>49</v>
      </c>
      <c r="D94" s="11" t="n">
        <v>90.91</v>
      </c>
      <c r="F94" s="11" t="n">
        <v>25</v>
      </c>
      <c r="G94" s="10" t="n">
        <v>4</v>
      </c>
      <c r="H94" s="11" t="n">
        <v>72.36</v>
      </c>
      <c r="I94" s="12" t="n">
        <v>2.412</v>
      </c>
      <c r="J94" s="11" t="n">
        <v>144.73</v>
      </c>
      <c r="K94" s="11" t="n">
        <v>402.09</v>
      </c>
    </row>
    <row r="95">
      <c r="F95" s="11" t="n">
        <v>33.3</v>
      </c>
      <c r="G95" s="10" t="n">
        <v>3</v>
      </c>
      <c r="H95" s="11" t="n">
        <v>69.11</v>
      </c>
      <c r="I95" s="12" t="n">
        <v>2.304</v>
      </c>
      <c r="J95" s="11" t="n">
        <v>138.21</v>
      </c>
      <c r="K95" s="11" t="n">
        <v>384</v>
      </c>
    </row>
    <row r="96">
      <c r="F96" s="11" t="n">
        <v>50</v>
      </c>
      <c r="G96" s="10" t="n">
        <v>2</v>
      </c>
      <c r="H96" s="11" t="n">
        <v>63.86</v>
      </c>
      <c r="I96" s="12" t="n">
        <v>2.129</v>
      </c>
      <c r="J96" s="11" t="n">
        <v>127.72</v>
      </c>
      <c r="K96" s="11" t="n">
        <v>354.84</v>
      </c>
    </row>
    <row r="97">
      <c r="F97" s="11" t="n">
        <v>75</v>
      </c>
      <c r="G97" s="10" t="n">
        <v>1.3</v>
      </c>
      <c r="H97" s="11" t="n">
        <v>56.97</v>
      </c>
      <c r="I97" s="12" t="n">
        <v>1.899</v>
      </c>
      <c r="J97" s="11" t="n">
        <v>113.93</v>
      </c>
      <c r="K97" s="11" t="n">
        <v>316.54</v>
      </c>
    </row>
    <row r="98">
      <c r="F98" s="11" t="n">
        <v>90</v>
      </c>
      <c r="G98" s="10" t="n">
        <v>1.1</v>
      </c>
      <c r="H98" s="11" t="n">
        <v>52.03</v>
      </c>
      <c r="I98" s="12" t="n">
        <v>1.734</v>
      </c>
      <c r="J98" s="11" t="n">
        <v>104.05</v>
      </c>
      <c r="K98" s="11" t="n">
        <v>289.09</v>
      </c>
    </row>
    <row r="99">
      <c r="F99" s="11" t="n">
        <v>95</v>
      </c>
      <c r="G99" s="10" t="n">
        <v>1.1</v>
      </c>
      <c r="H99" s="11" t="n">
        <v>49.59</v>
      </c>
      <c r="I99" s="12" t="n">
        <v>1.653</v>
      </c>
      <c r="J99" s="11" t="n">
        <v>99.18000000000001</v>
      </c>
      <c r="K99" s="11" t="n">
        <v>275.57</v>
      </c>
    </row>
    <row r="102">
      <c r="A102" s="7" t="inlineStr">
        <is>
          <t>PHÂN TÍCH TẦN SUẤT THỜI ĐOẠN 45 PHÚT (X_tb=80.26mm, Cv=0.219, Cs=1.094)</t>
        </is>
      </c>
    </row>
    <row r="103">
      <c r="A103" s="8" t="inlineStr">
        <is>
          <t>Bảng Tần Suất Kinh Nghiệm (Weibull)</t>
        </is>
      </c>
      <c r="F103" s="8" t="inlineStr">
        <is>
          <t>Bảng Tần Suất Lý Luận (Pearson III)</t>
        </is>
      </c>
    </row>
    <row r="104">
      <c r="A104" s="9" t="inlineStr">
        <is>
          <t>Hạng (m)</t>
        </is>
      </c>
      <c r="B104" s="9" t="inlineStr">
        <is>
          <t>Năm</t>
        </is>
      </c>
      <c r="C104" s="9" t="inlineStr">
        <is>
          <t>H (mm)</t>
        </is>
      </c>
      <c r="D104" s="9" t="inlineStr">
        <is>
          <t>P_kinh_nghiệm (%)</t>
        </is>
      </c>
      <c r="F104" s="9" t="inlineStr">
        <is>
          <t>Tần suất P (%)</t>
        </is>
      </c>
      <c r="G104" s="9" t="inlineStr">
        <is>
          <t>Chu kỳ T (năm)</t>
        </is>
      </c>
      <c r="H104" s="9" t="inlineStr">
        <is>
          <t>H_p (mm)</t>
        </is>
      </c>
      <c r="I104" s="9" t="inlineStr">
        <is>
          <t>I (mm/phút)</t>
        </is>
      </c>
      <c r="J104" s="9" t="inlineStr">
        <is>
          <t>I (mm/h)</t>
        </is>
      </c>
      <c r="K104" s="9" t="inlineStr">
        <is>
          <t>q (l/s.ha)</t>
        </is>
      </c>
    </row>
    <row r="105">
      <c r="A105" s="10" t="n">
        <v>1</v>
      </c>
      <c r="B105" s="10" t="n">
        <v>2020</v>
      </c>
      <c r="C105" s="11" t="n">
        <v>109</v>
      </c>
      <c r="D105" s="11" t="n">
        <v>9.09</v>
      </c>
      <c r="F105" s="11" t="n">
        <v>0.1</v>
      </c>
      <c r="G105" s="10" t="n">
        <v>1000</v>
      </c>
      <c r="H105" s="11" t="n">
        <v>162.16</v>
      </c>
      <c r="I105" s="12" t="n">
        <v>3.604</v>
      </c>
      <c r="J105" s="11" t="n">
        <v>216.22</v>
      </c>
      <c r="K105" s="11" t="n">
        <v>600.73</v>
      </c>
    </row>
    <row r="106">
      <c r="A106" s="10" t="n">
        <v>2</v>
      </c>
      <c r="B106" s="10" t="n">
        <v>2016</v>
      </c>
      <c r="C106" s="11" t="n">
        <v>105</v>
      </c>
      <c r="D106" s="11" t="n">
        <v>18.18</v>
      </c>
      <c r="F106" s="11" t="n">
        <v>0.5</v>
      </c>
      <c r="G106" s="10" t="n">
        <v>200</v>
      </c>
      <c r="H106" s="11" t="n">
        <v>142.94</v>
      </c>
      <c r="I106" s="12" t="n">
        <v>3.177</v>
      </c>
      <c r="J106" s="11" t="n">
        <v>190.59</v>
      </c>
      <c r="K106" s="11" t="n">
        <v>529.52</v>
      </c>
    </row>
    <row r="107">
      <c r="A107" s="10" t="n">
        <v>3</v>
      </c>
      <c r="B107" s="10" t="n">
        <v>2018</v>
      </c>
      <c r="C107" s="11" t="n">
        <v>85.5</v>
      </c>
      <c r="D107" s="11" t="n">
        <v>27.27</v>
      </c>
      <c r="F107" s="11" t="n">
        <v>1</v>
      </c>
      <c r="G107" s="10" t="n">
        <v>100</v>
      </c>
      <c r="H107" s="11" t="n">
        <v>134.39</v>
      </c>
      <c r="I107" s="12" t="n">
        <v>2.986</v>
      </c>
      <c r="J107" s="11" t="n">
        <v>179.18</v>
      </c>
      <c r="K107" s="11" t="n">
        <v>497.83</v>
      </c>
    </row>
    <row r="108">
      <c r="A108" s="10" t="n">
        <v>4</v>
      </c>
      <c r="B108" s="10" t="n">
        <v>2017</v>
      </c>
      <c r="C108" s="11" t="n">
        <v>82</v>
      </c>
      <c r="D108" s="11" t="n">
        <v>36.36</v>
      </c>
      <c r="F108" s="11" t="n">
        <v>2</v>
      </c>
      <c r="G108" s="10" t="n">
        <v>50</v>
      </c>
      <c r="H108" s="11" t="n">
        <v>125.6</v>
      </c>
      <c r="I108" s="12" t="n">
        <v>2.791</v>
      </c>
      <c r="J108" s="11" t="n">
        <v>167.47</v>
      </c>
      <c r="K108" s="11" t="n">
        <v>465.27</v>
      </c>
    </row>
    <row r="109">
      <c r="A109" s="10" t="n">
        <v>5</v>
      </c>
      <c r="B109" s="10" t="n">
        <v>2023</v>
      </c>
      <c r="C109" s="11" t="n">
        <v>81.2</v>
      </c>
      <c r="D109" s="11" t="n">
        <v>45.45</v>
      </c>
      <c r="F109" s="11" t="n">
        <v>3</v>
      </c>
      <c r="G109" s="10" t="n">
        <v>33.3</v>
      </c>
      <c r="H109" s="11" t="n">
        <v>120.32</v>
      </c>
      <c r="I109" s="12" t="n">
        <v>2.674</v>
      </c>
      <c r="J109" s="11" t="n">
        <v>160.43</v>
      </c>
      <c r="K109" s="11" t="n">
        <v>445.73</v>
      </c>
    </row>
    <row r="110">
      <c r="A110" s="10" t="n">
        <v>6</v>
      </c>
      <c r="B110" s="10" t="n">
        <v>2021</v>
      </c>
      <c r="C110" s="11" t="n">
        <v>79.2</v>
      </c>
      <c r="D110" s="11" t="n">
        <v>54.55</v>
      </c>
      <c r="F110" s="11" t="n">
        <v>4</v>
      </c>
      <c r="G110" s="10" t="n">
        <v>25</v>
      </c>
      <c r="H110" s="11" t="n">
        <v>116.51</v>
      </c>
      <c r="I110" s="12" t="n">
        <v>2.589</v>
      </c>
      <c r="J110" s="11" t="n">
        <v>155.34</v>
      </c>
      <c r="K110" s="11" t="n">
        <v>431.59</v>
      </c>
    </row>
    <row r="111">
      <c r="A111" s="10" t="n">
        <v>7</v>
      </c>
      <c r="B111" s="10" t="n">
        <v>2022</v>
      </c>
      <c r="C111" s="11" t="n">
        <v>78.5</v>
      </c>
      <c r="D111" s="11" t="n">
        <v>63.64</v>
      </c>
      <c r="F111" s="11" t="n">
        <v>5</v>
      </c>
      <c r="G111" s="10" t="n">
        <v>20</v>
      </c>
      <c r="H111" s="11" t="n">
        <v>113.5</v>
      </c>
      <c r="I111" s="12" t="n">
        <v>2.522</v>
      </c>
      <c r="J111" s="11" t="n">
        <v>151.33</v>
      </c>
      <c r="K111" s="11" t="n">
        <v>420.44</v>
      </c>
    </row>
    <row r="112">
      <c r="A112" s="10" t="n">
        <v>8</v>
      </c>
      <c r="B112" s="10" t="n">
        <v>2024</v>
      </c>
      <c r="C112" s="11" t="n">
        <v>67.5</v>
      </c>
      <c r="D112" s="11" t="n">
        <v>72.73</v>
      </c>
      <c r="F112" s="11" t="n">
        <v>10</v>
      </c>
      <c r="G112" s="10" t="n">
        <v>10</v>
      </c>
      <c r="H112" s="11" t="n">
        <v>103.8</v>
      </c>
      <c r="I112" s="12" t="n">
        <v>2.307</v>
      </c>
      <c r="J112" s="11" t="n">
        <v>138.41</v>
      </c>
      <c r="K112" s="11" t="n">
        <v>384.54</v>
      </c>
    </row>
    <row r="113">
      <c r="A113" s="10" t="n">
        <v>9</v>
      </c>
      <c r="B113" s="10" t="n">
        <v>2019</v>
      </c>
      <c r="C113" s="11" t="n">
        <v>64</v>
      </c>
      <c r="D113" s="11" t="n">
        <v>81.81999999999999</v>
      </c>
      <c r="F113" s="11" t="n">
        <v>20</v>
      </c>
      <c r="G113" s="10" t="n">
        <v>5</v>
      </c>
      <c r="H113" s="11" t="n">
        <v>93.36</v>
      </c>
      <c r="I113" s="12" t="n">
        <v>2.075</v>
      </c>
      <c r="J113" s="11" t="n">
        <v>124.48</v>
      </c>
      <c r="K113" s="11" t="n">
        <v>345.85</v>
      </c>
    </row>
    <row r="114">
      <c r="A114" s="10" t="n">
        <v>10</v>
      </c>
      <c r="B114" s="10" t="n">
        <v>2025</v>
      </c>
      <c r="C114" s="11" t="n">
        <v>50.7</v>
      </c>
      <c r="D114" s="11" t="n">
        <v>90.91</v>
      </c>
      <c r="F114" s="11" t="n">
        <v>25</v>
      </c>
      <c r="G114" s="10" t="n">
        <v>4</v>
      </c>
      <c r="H114" s="11" t="n">
        <v>89.75</v>
      </c>
      <c r="I114" s="12" t="n">
        <v>1.995</v>
      </c>
      <c r="J114" s="11" t="n">
        <v>119.67</v>
      </c>
      <c r="K114" s="11" t="n">
        <v>332.49</v>
      </c>
    </row>
    <row r="115">
      <c r="F115" s="11" t="n">
        <v>33.3</v>
      </c>
      <c r="G115" s="10" t="n">
        <v>3</v>
      </c>
      <c r="H115" s="11" t="n">
        <v>84.86</v>
      </c>
      <c r="I115" s="12" t="n">
        <v>1.886</v>
      </c>
      <c r="J115" s="11" t="n">
        <v>113.14</v>
      </c>
      <c r="K115" s="11" t="n">
        <v>314.35</v>
      </c>
    </row>
    <row r="116">
      <c r="F116" s="11" t="n">
        <v>50</v>
      </c>
      <c r="G116" s="10" t="n">
        <v>2</v>
      </c>
      <c r="H116" s="11" t="n">
        <v>77.12</v>
      </c>
      <c r="I116" s="12" t="n">
        <v>1.714</v>
      </c>
      <c r="J116" s="11" t="n">
        <v>102.83</v>
      </c>
      <c r="K116" s="11" t="n">
        <v>285.69</v>
      </c>
    </row>
    <row r="117">
      <c r="F117" s="11" t="n">
        <v>75</v>
      </c>
      <c r="G117" s="10" t="n">
        <v>1.3</v>
      </c>
      <c r="H117" s="11" t="n">
        <v>67.37</v>
      </c>
      <c r="I117" s="12" t="n">
        <v>1.497</v>
      </c>
      <c r="J117" s="11" t="n">
        <v>89.83</v>
      </c>
      <c r="K117" s="11" t="n">
        <v>249.57</v>
      </c>
    </row>
    <row r="118">
      <c r="F118" s="11" t="n">
        <v>90</v>
      </c>
      <c r="G118" s="10" t="n">
        <v>1.1</v>
      </c>
      <c r="H118" s="11" t="n">
        <v>60.8</v>
      </c>
      <c r="I118" s="12" t="n">
        <v>1.351</v>
      </c>
      <c r="J118" s="11" t="n">
        <v>81.06</v>
      </c>
      <c r="K118" s="11" t="n">
        <v>225.22</v>
      </c>
    </row>
    <row r="119">
      <c r="F119" s="11" t="n">
        <v>95</v>
      </c>
      <c r="G119" s="10" t="n">
        <v>1.1</v>
      </c>
      <c r="H119" s="11" t="n">
        <v>57.74</v>
      </c>
      <c r="I119" s="12" t="n">
        <v>1.283</v>
      </c>
      <c r="J119" s="11" t="n">
        <v>76.98999999999999</v>
      </c>
      <c r="K119" s="11" t="n">
        <v>213.9</v>
      </c>
    </row>
    <row r="122">
      <c r="A122" s="7" t="inlineStr">
        <is>
          <t>PHÂN TÍCH TẦN SUẤT THỜI ĐOẠN 60 PHÚT (X_tb=91.31mm, Cv=0.248, Cs=1.241)</t>
        </is>
      </c>
    </row>
    <row r="123">
      <c r="A123" s="8" t="inlineStr">
        <is>
          <t>Bảng Tần Suất Kinh Nghiệm (Weibull)</t>
        </is>
      </c>
      <c r="F123" s="8" t="inlineStr">
        <is>
          <t>Bảng Tần Suất Lý Luận (Pearson III)</t>
        </is>
      </c>
    </row>
    <row r="124">
      <c r="A124" s="9" t="inlineStr">
        <is>
          <t>Hạng (m)</t>
        </is>
      </c>
      <c r="B124" s="9" t="inlineStr">
        <is>
          <t>Năm</t>
        </is>
      </c>
      <c r="C124" s="9" t="inlineStr">
        <is>
          <t>H (mm)</t>
        </is>
      </c>
      <c r="D124" s="9" t="inlineStr">
        <is>
          <t>P_kinh_nghiệm (%)</t>
        </is>
      </c>
      <c r="F124" s="9" t="inlineStr">
        <is>
          <t>Tần suất P (%)</t>
        </is>
      </c>
      <c r="G124" s="9" t="inlineStr">
        <is>
          <t>Chu kỳ T (năm)</t>
        </is>
      </c>
      <c r="H124" s="9" t="inlineStr">
        <is>
          <t>H_p (mm)</t>
        </is>
      </c>
      <c r="I124" s="9" t="inlineStr">
        <is>
          <t>I (mm/phút)</t>
        </is>
      </c>
      <c r="J124" s="9" t="inlineStr">
        <is>
          <t>I (mm/h)</t>
        </is>
      </c>
      <c r="K124" s="9" t="inlineStr">
        <is>
          <t>q (l/s.ha)</t>
        </is>
      </c>
    </row>
    <row r="125">
      <c r="A125" s="10" t="n">
        <v>1</v>
      </c>
      <c r="B125" s="10" t="n">
        <v>2016</v>
      </c>
      <c r="C125" s="11" t="n">
        <v>134.7</v>
      </c>
      <c r="D125" s="11" t="n">
        <v>9.09</v>
      </c>
      <c r="F125" s="11" t="n">
        <v>0.1</v>
      </c>
      <c r="G125" s="10" t="n">
        <v>1000</v>
      </c>
      <c r="H125" s="11" t="n">
        <v>201.75</v>
      </c>
      <c r="I125" s="12" t="n">
        <v>3.363</v>
      </c>
      <c r="J125" s="11" t="n">
        <v>201.75</v>
      </c>
      <c r="K125" s="11" t="n">
        <v>560.53</v>
      </c>
    </row>
    <row r="126">
      <c r="A126" s="10" t="n">
        <v>2</v>
      </c>
      <c r="B126" s="10" t="n">
        <v>2020</v>
      </c>
      <c r="C126" s="11" t="n">
        <v>122.4</v>
      </c>
      <c r="D126" s="11" t="n">
        <v>18.18</v>
      </c>
      <c r="F126" s="11" t="n">
        <v>0.5</v>
      </c>
      <c r="G126" s="10" t="n">
        <v>200</v>
      </c>
      <c r="H126" s="11" t="n">
        <v>175.07</v>
      </c>
      <c r="I126" s="12" t="n">
        <v>2.918</v>
      </c>
      <c r="J126" s="11" t="n">
        <v>175.07</v>
      </c>
      <c r="K126" s="11" t="n">
        <v>486.4</v>
      </c>
    </row>
    <row r="127">
      <c r="A127" s="10" t="n">
        <v>3</v>
      </c>
      <c r="B127" s="10" t="n">
        <v>2018</v>
      </c>
      <c r="C127" s="11" t="n">
        <v>100.4</v>
      </c>
      <c r="D127" s="11" t="n">
        <v>27.27</v>
      </c>
      <c r="F127" s="11" t="n">
        <v>1</v>
      </c>
      <c r="G127" s="10" t="n">
        <v>100</v>
      </c>
      <c r="H127" s="11" t="n">
        <v>163.27</v>
      </c>
      <c r="I127" s="12" t="n">
        <v>2.721</v>
      </c>
      <c r="J127" s="11" t="n">
        <v>163.27</v>
      </c>
      <c r="K127" s="11" t="n">
        <v>453.61</v>
      </c>
    </row>
    <row r="128">
      <c r="A128" s="10" t="n">
        <v>4</v>
      </c>
      <c r="B128" s="10" t="n">
        <v>2017</v>
      </c>
      <c r="C128" s="11" t="n">
        <v>92.5</v>
      </c>
      <c r="D128" s="11" t="n">
        <v>36.36</v>
      </c>
      <c r="F128" s="11" t="n">
        <v>2</v>
      </c>
      <c r="G128" s="10" t="n">
        <v>50</v>
      </c>
      <c r="H128" s="11" t="n">
        <v>151.21</v>
      </c>
      <c r="I128" s="12" t="n">
        <v>2.52</v>
      </c>
      <c r="J128" s="11" t="n">
        <v>151.21</v>
      </c>
      <c r="K128" s="11" t="n">
        <v>420.12</v>
      </c>
    </row>
    <row r="129">
      <c r="A129" s="10" t="n">
        <v>5</v>
      </c>
      <c r="B129" s="10" t="n">
        <v>2022</v>
      </c>
      <c r="C129" s="11" t="n">
        <v>89</v>
      </c>
      <c r="D129" s="11" t="n">
        <v>45.45</v>
      </c>
      <c r="F129" s="11" t="n">
        <v>3</v>
      </c>
      <c r="G129" s="10" t="n">
        <v>33.3</v>
      </c>
      <c r="H129" s="11" t="n">
        <v>144.01</v>
      </c>
      <c r="I129" s="12" t="n">
        <v>2.4</v>
      </c>
      <c r="J129" s="11" t="n">
        <v>144.01</v>
      </c>
      <c r="K129" s="11" t="n">
        <v>400.11</v>
      </c>
    </row>
    <row r="130">
      <c r="A130" s="10" t="n">
        <v>6</v>
      </c>
      <c r="B130" s="10" t="n">
        <v>2023</v>
      </c>
      <c r="C130" s="11" t="n">
        <v>83.90000000000001</v>
      </c>
      <c r="D130" s="11" t="n">
        <v>54.55</v>
      </c>
      <c r="F130" s="11" t="n">
        <v>4</v>
      </c>
      <c r="G130" s="10" t="n">
        <v>25</v>
      </c>
      <c r="H130" s="11" t="n">
        <v>138.82</v>
      </c>
      <c r="I130" s="12" t="n">
        <v>2.314</v>
      </c>
      <c r="J130" s="11" t="n">
        <v>138.82</v>
      </c>
      <c r="K130" s="11" t="n">
        <v>385.69</v>
      </c>
    </row>
    <row r="131">
      <c r="A131" s="10" t="n">
        <v>7</v>
      </c>
      <c r="B131" s="10" t="n">
        <v>2021</v>
      </c>
      <c r="C131" s="11" t="n">
        <v>83</v>
      </c>
      <c r="D131" s="11" t="n">
        <v>63.64</v>
      </c>
      <c r="F131" s="11" t="n">
        <v>5</v>
      </c>
      <c r="G131" s="10" t="n">
        <v>20</v>
      </c>
      <c r="H131" s="11" t="n">
        <v>134.74</v>
      </c>
      <c r="I131" s="12" t="n">
        <v>2.246</v>
      </c>
      <c r="J131" s="11" t="n">
        <v>134.74</v>
      </c>
      <c r="K131" s="11" t="n">
        <v>374.35</v>
      </c>
    </row>
    <row r="132">
      <c r="A132" s="10" t="n">
        <v>8</v>
      </c>
      <c r="B132" s="10" t="n">
        <v>2024</v>
      </c>
      <c r="C132" s="11" t="n">
        <v>76.2</v>
      </c>
      <c r="D132" s="11" t="n">
        <v>72.73</v>
      </c>
      <c r="F132" s="11" t="n">
        <v>10</v>
      </c>
      <c r="G132" s="10" t="n">
        <v>10</v>
      </c>
      <c r="H132" s="11" t="n">
        <v>121.68</v>
      </c>
      <c r="I132" s="12" t="n">
        <v>2.028</v>
      </c>
      <c r="J132" s="11" t="n">
        <v>121.68</v>
      </c>
      <c r="K132" s="11" t="n">
        <v>338.07</v>
      </c>
    </row>
    <row r="133">
      <c r="A133" s="10" t="n">
        <v>9</v>
      </c>
      <c r="B133" s="10" t="n">
        <v>2019</v>
      </c>
      <c r="C133" s="11" t="n">
        <v>65.5</v>
      </c>
      <c r="D133" s="11" t="n">
        <v>81.81999999999999</v>
      </c>
      <c r="F133" s="11" t="n">
        <v>20</v>
      </c>
      <c r="G133" s="10" t="n">
        <v>5</v>
      </c>
      <c r="H133" s="11" t="n">
        <v>107.79</v>
      </c>
      <c r="I133" s="12" t="n">
        <v>1.797</v>
      </c>
      <c r="J133" s="11" t="n">
        <v>107.79</v>
      </c>
      <c r="K133" s="11" t="n">
        <v>299.48</v>
      </c>
    </row>
    <row r="134">
      <c r="A134" s="10" t="n">
        <v>10</v>
      </c>
      <c r="B134" s="10" t="n">
        <v>2025</v>
      </c>
      <c r="C134" s="11" t="n">
        <v>65.5</v>
      </c>
      <c r="D134" s="11" t="n">
        <v>90.91</v>
      </c>
      <c r="F134" s="11" t="n">
        <v>25</v>
      </c>
      <c r="G134" s="10" t="n">
        <v>4</v>
      </c>
      <c r="H134" s="11" t="n">
        <v>103.05</v>
      </c>
      <c r="I134" s="12" t="n">
        <v>1.717</v>
      </c>
      <c r="J134" s="11" t="n">
        <v>103.05</v>
      </c>
      <c r="K134" s="11" t="n">
        <v>286.3</v>
      </c>
    </row>
    <row r="135">
      <c r="F135" s="11" t="n">
        <v>33.3</v>
      </c>
      <c r="G135" s="10" t="n">
        <v>3</v>
      </c>
      <c r="H135" s="11" t="n">
        <v>96.66</v>
      </c>
      <c r="I135" s="12" t="n">
        <v>1.611</v>
      </c>
      <c r="J135" s="11" t="n">
        <v>96.66</v>
      </c>
      <c r="K135" s="11" t="n">
        <v>268.56</v>
      </c>
    </row>
    <row r="136">
      <c r="F136" s="11" t="n">
        <v>50</v>
      </c>
      <c r="G136" s="10" t="n">
        <v>2</v>
      </c>
      <c r="H136" s="11" t="n">
        <v>86.73999999999999</v>
      </c>
      <c r="I136" s="12" t="n">
        <v>1.446</v>
      </c>
      <c r="J136" s="11" t="n">
        <v>86.73999999999999</v>
      </c>
      <c r="K136" s="11" t="n">
        <v>241</v>
      </c>
    </row>
    <row r="137">
      <c r="F137" s="11" t="n">
        <v>75</v>
      </c>
      <c r="G137" s="10" t="n">
        <v>1.3</v>
      </c>
      <c r="H137" s="11" t="n">
        <v>74.64</v>
      </c>
      <c r="I137" s="12" t="n">
        <v>1.244</v>
      </c>
      <c r="J137" s="11" t="n">
        <v>74.64</v>
      </c>
      <c r="K137" s="11" t="n">
        <v>207.39</v>
      </c>
    </row>
    <row r="138">
      <c r="F138" s="11" t="n">
        <v>90</v>
      </c>
      <c r="G138" s="10" t="n">
        <v>1.1</v>
      </c>
      <c r="H138" s="11" t="n">
        <v>66.90000000000001</v>
      </c>
      <c r="I138" s="12" t="n">
        <v>1.115</v>
      </c>
      <c r="J138" s="11" t="n">
        <v>66.90000000000001</v>
      </c>
      <c r="K138" s="11" t="n">
        <v>185.86</v>
      </c>
    </row>
    <row r="139">
      <c r="F139" s="11" t="n">
        <v>95</v>
      </c>
      <c r="G139" s="10" t="n">
        <v>1.1</v>
      </c>
      <c r="H139" s="11" t="n">
        <v>63.48</v>
      </c>
      <c r="I139" s="12" t="n">
        <v>1.058</v>
      </c>
      <c r="J139" s="11" t="n">
        <v>63.48</v>
      </c>
      <c r="K139" s="11" t="n">
        <v>176.37</v>
      </c>
    </row>
    <row r="142">
      <c r="A142" s="7" t="inlineStr">
        <is>
          <t>PHÂN TÍCH TẦN SUẤT THỜI ĐOẠN 180 PHÚT (X_tb=111.18mm, Cv=0.268, Cs=1.342)</t>
        </is>
      </c>
    </row>
    <row r="143">
      <c r="A143" s="8" t="inlineStr">
        <is>
          <t>Bảng Tần Suất Kinh Nghiệm (Weibull)</t>
        </is>
      </c>
      <c r="F143" s="8" t="inlineStr">
        <is>
          <t>Bảng Tần Suất Lý Luận (Pearson III)</t>
        </is>
      </c>
    </row>
    <row r="144">
      <c r="A144" s="9" t="inlineStr">
        <is>
          <t>Hạng (m)</t>
        </is>
      </c>
      <c r="B144" s="9" t="inlineStr">
        <is>
          <t>Năm</t>
        </is>
      </c>
      <c r="C144" s="9" t="inlineStr">
        <is>
          <t>H (mm)</t>
        </is>
      </c>
      <c r="D144" s="9" t="inlineStr">
        <is>
          <t>P_kinh_nghiệm (%)</t>
        </is>
      </c>
      <c r="F144" s="9" t="inlineStr">
        <is>
          <t>Tần suất P (%)</t>
        </is>
      </c>
      <c r="G144" s="9" t="inlineStr">
        <is>
          <t>Chu kỳ T (năm)</t>
        </is>
      </c>
      <c r="H144" s="9" t="inlineStr">
        <is>
          <t>H_p (mm)</t>
        </is>
      </c>
      <c r="I144" s="9" t="inlineStr">
        <is>
          <t>I (mm/phút)</t>
        </is>
      </c>
      <c r="J144" s="9" t="inlineStr">
        <is>
          <t>I (mm/h)</t>
        </is>
      </c>
      <c r="K144" s="9" t="inlineStr">
        <is>
          <t>q (l/s.ha)</t>
        </is>
      </c>
    </row>
    <row r="145">
      <c r="A145" s="10" t="n">
        <v>1</v>
      </c>
      <c r="B145" s="10" t="n">
        <v>2016</v>
      </c>
      <c r="C145" s="11" t="n">
        <v>165.3</v>
      </c>
      <c r="D145" s="11" t="n">
        <v>9.09</v>
      </c>
      <c r="F145" s="11" t="n">
        <v>0.1</v>
      </c>
      <c r="G145" s="10" t="n">
        <v>1000</v>
      </c>
      <c r="H145" s="11" t="n">
        <v>260.81</v>
      </c>
      <c r="I145" s="12" t="n">
        <v>1.449</v>
      </c>
      <c r="J145" s="11" t="n">
        <v>86.94</v>
      </c>
      <c r="K145" s="11" t="n">
        <v>241.54</v>
      </c>
    </row>
    <row r="146">
      <c r="A146" s="10" t="n">
        <v>2</v>
      </c>
      <c r="B146" s="10" t="n">
        <v>2018</v>
      </c>
      <c r="C146" s="11" t="n">
        <v>135.3</v>
      </c>
      <c r="D146" s="11" t="n">
        <v>18.18</v>
      </c>
      <c r="F146" s="11" t="n">
        <v>0.5</v>
      </c>
      <c r="G146" s="10" t="n">
        <v>200</v>
      </c>
      <c r="H146" s="11" t="n">
        <v>223.98</v>
      </c>
      <c r="I146" s="12" t="n">
        <v>1.244</v>
      </c>
      <c r="J146" s="11" t="n">
        <v>74.66</v>
      </c>
      <c r="K146" s="11" t="n">
        <v>207.43</v>
      </c>
    </row>
    <row r="147">
      <c r="A147" s="10" t="n">
        <v>3</v>
      </c>
      <c r="B147" s="10" t="n">
        <v>2017</v>
      </c>
      <c r="C147" s="11" t="n">
        <v>132.4</v>
      </c>
      <c r="D147" s="11" t="n">
        <v>27.27</v>
      </c>
      <c r="F147" s="11" t="n">
        <v>1</v>
      </c>
      <c r="G147" s="10" t="n">
        <v>100</v>
      </c>
      <c r="H147" s="11" t="n">
        <v>207.76</v>
      </c>
      <c r="I147" s="12" t="n">
        <v>1.154</v>
      </c>
      <c r="J147" s="11" t="n">
        <v>69.25</v>
      </c>
      <c r="K147" s="11" t="n">
        <v>192.41</v>
      </c>
    </row>
    <row r="148">
      <c r="A148" s="10" t="n">
        <v>4</v>
      </c>
      <c r="B148" s="10" t="n">
        <v>2020</v>
      </c>
      <c r="C148" s="11" t="n">
        <v>127.5</v>
      </c>
      <c r="D148" s="11" t="n">
        <v>36.36</v>
      </c>
      <c r="F148" s="11" t="n">
        <v>2</v>
      </c>
      <c r="G148" s="10" t="n">
        <v>50</v>
      </c>
      <c r="H148" s="11" t="n">
        <v>191.25</v>
      </c>
      <c r="I148" s="12" t="n">
        <v>1.062</v>
      </c>
      <c r="J148" s="11" t="n">
        <v>63.75</v>
      </c>
      <c r="K148" s="11" t="n">
        <v>177.12</v>
      </c>
    </row>
    <row r="149">
      <c r="A149" s="10" t="n">
        <v>5</v>
      </c>
      <c r="B149" s="10" t="n">
        <v>2024</v>
      </c>
      <c r="C149" s="11" t="n">
        <v>119.8</v>
      </c>
      <c r="D149" s="11" t="n">
        <v>45.45</v>
      </c>
      <c r="F149" s="11" t="n">
        <v>3</v>
      </c>
      <c r="G149" s="10" t="n">
        <v>33.3</v>
      </c>
      <c r="H149" s="11" t="n">
        <v>181.41</v>
      </c>
      <c r="I149" s="12" t="n">
        <v>1.008</v>
      </c>
      <c r="J149" s="11" t="n">
        <v>60.47</v>
      </c>
      <c r="K149" s="11" t="n">
        <v>168.01</v>
      </c>
    </row>
    <row r="150">
      <c r="A150" s="10" t="n">
        <v>6</v>
      </c>
      <c r="B150" s="10" t="n">
        <v>2022</v>
      </c>
      <c r="C150" s="11" t="n">
        <v>96.40000000000001</v>
      </c>
      <c r="D150" s="11" t="n">
        <v>54.55</v>
      </c>
      <c r="F150" s="11" t="n">
        <v>4</v>
      </c>
      <c r="G150" s="10" t="n">
        <v>25</v>
      </c>
      <c r="H150" s="11" t="n">
        <v>174.34</v>
      </c>
      <c r="I150" s="12" t="n">
        <v>0.969</v>
      </c>
      <c r="J150" s="11" t="n">
        <v>58.11</v>
      </c>
      <c r="K150" s="11" t="n">
        <v>161.46</v>
      </c>
    </row>
    <row r="151">
      <c r="A151" s="10" t="n">
        <v>7</v>
      </c>
      <c r="B151" s="10" t="n">
        <v>2021</v>
      </c>
      <c r="C151" s="11" t="n">
        <v>96.2</v>
      </c>
      <c r="D151" s="11" t="n">
        <v>63.64</v>
      </c>
      <c r="F151" s="11" t="n">
        <v>5</v>
      </c>
      <c r="G151" s="10" t="n">
        <v>20</v>
      </c>
      <c r="H151" s="11" t="n">
        <v>168.79</v>
      </c>
      <c r="I151" s="12" t="n">
        <v>0.9379999999999999</v>
      </c>
      <c r="J151" s="11" t="n">
        <v>56.26</v>
      </c>
      <c r="K151" s="11" t="n">
        <v>156.32</v>
      </c>
    </row>
    <row r="152">
      <c r="A152" s="10" t="n">
        <v>8</v>
      </c>
      <c r="B152" s="10" t="n">
        <v>2023</v>
      </c>
      <c r="C152" s="11" t="n">
        <v>90.7</v>
      </c>
      <c r="D152" s="11" t="n">
        <v>72.73</v>
      </c>
      <c r="F152" s="11" t="n">
        <v>10</v>
      </c>
      <c r="G152" s="10" t="n">
        <v>10</v>
      </c>
      <c r="H152" s="11" t="n">
        <v>151.11</v>
      </c>
      <c r="I152" s="12" t="n">
        <v>0.84</v>
      </c>
      <c r="J152" s="11" t="n">
        <v>50.37</v>
      </c>
      <c r="K152" s="11" t="n">
        <v>139.95</v>
      </c>
    </row>
    <row r="153">
      <c r="A153" s="10" t="n">
        <v>9</v>
      </c>
      <c r="B153" s="10" t="n">
        <v>2025</v>
      </c>
      <c r="C153" s="11" t="n">
        <v>81.2</v>
      </c>
      <c r="D153" s="11" t="n">
        <v>81.81999999999999</v>
      </c>
      <c r="F153" s="11" t="n">
        <v>20</v>
      </c>
      <c r="G153" s="10" t="n">
        <v>5</v>
      </c>
      <c r="H153" s="11" t="n">
        <v>132.47</v>
      </c>
      <c r="I153" s="12" t="n">
        <v>0.736</v>
      </c>
      <c r="J153" s="11" t="n">
        <v>44.16</v>
      </c>
      <c r="K153" s="11" t="n">
        <v>122.68</v>
      </c>
    </row>
    <row r="154">
      <c r="A154" s="10" t="n">
        <v>10</v>
      </c>
      <c r="B154" s="10" t="n">
        <v>2019</v>
      </c>
      <c r="C154" s="11" t="n">
        <v>67</v>
      </c>
      <c r="D154" s="11" t="n">
        <v>90.91</v>
      </c>
      <c r="F154" s="11" t="n">
        <v>25</v>
      </c>
      <c r="G154" s="10" t="n">
        <v>4</v>
      </c>
      <c r="H154" s="11" t="n">
        <v>126.15</v>
      </c>
      <c r="I154" s="12" t="n">
        <v>0.701</v>
      </c>
      <c r="J154" s="11" t="n">
        <v>42.05</v>
      </c>
      <c r="K154" s="11" t="n">
        <v>116.83</v>
      </c>
    </row>
    <row r="155">
      <c r="F155" s="11" t="n">
        <v>33.3</v>
      </c>
      <c r="G155" s="10" t="n">
        <v>3</v>
      </c>
      <c r="H155" s="11" t="n">
        <v>117.7</v>
      </c>
      <c r="I155" s="12" t="n">
        <v>0.654</v>
      </c>
      <c r="J155" s="11" t="n">
        <v>39.23</v>
      </c>
      <c r="K155" s="11" t="n">
        <v>109</v>
      </c>
    </row>
    <row r="156">
      <c r="F156" s="11" t="n">
        <v>50</v>
      </c>
      <c r="G156" s="10" t="n">
        <v>2</v>
      </c>
      <c r="H156" s="11" t="n">
        <v>104.71</v>
      </c>
      <c r="I156" s="12" t="n">
        <v>0.582</v>
      </c>
      <c r="J156" s="11" t="n">
        <v>34.9</v>
      </c>
      <c r="K156" s="11" t="n">
        <v>96.98</v>
      </c>
    </row>
    <row r="157">
      <c r="F157" s="11" t="n">
        <v>75</v>
      </c>
      <c r="G157" s="10" t="n">
        <v>1.3</v>
      </c>
      <c r="H157" s="11" t="n">
        <v>89.23999999999999</v>
      </c>
      <c r="I157" s="12" t="n">
        <v>0.496</v>
      </c>
      <c r="J157" s="11" t="n">
        <v>29.75</v>
      </c>
      <c r="K157" s="11" t="n">
        <v>82.65000000000001</v>
      </c>
    </row>
    <row r="158">
      <c r="F158" s="11" t="n">
        <v>90</v>
      </c>
      <c r="G158" s="10" t="n">
        <v>1.1</v>
      </c>
      <c r="H158" s="11" t="n">
        <v>79.70999999999999</v>
      </c>
      <c r="I158" s="12" t="n">
        <v>0.443</v>
      </c>
      <c r="J158" s="11" t="n">
        <v>26.57</v>
      </c>
      <c r="K158" s="11" t="n">
        <v>73.81999999999999</v>
      </c>
    </row>
    <row r="159">
      <c r="F159" s="11" t="n">
        <v>95</v>
      </c>
      <c r="G159" s="10" t="n">
        <v>1.1</v>
      </c>
      <c r="H159" s="11" t="n">
        <v>75.67</v>
      </c>
      <c r="I159" s="12" t="n">
        <v>0.42</v>
      </c>
      <c r="J159" s="11" t="n">
        <v>25.22</v>
      </c>
      <c r="K159" s="11" t="n">
        <v>70.08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2026-09-29T08:21:54Z</dcterms:created>
  <dcterms:modified xsi:type="dcterms:W3CDTF">2026-09-29T08:21:54Z</dcterms:modified>
</cp:coreProperties>
</file>